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Mathura Swaminathan\Downloads\"/>
    </mc:Choice>
  </mc:AlternateContent>
  <xr:revisionPtr revIDLastSave="0" documentId="13_ncr:1_{C88C4C46-B289-41A0-A670-8F0AB74DF0D5}" xr6:coauthVersionLast="47" xr6:coauthVersionMax="47" xr10:uidLastSave="{00000000-0000-0000-0000-000000000000}"/>
  <bookViews>
    <workbookView xWindow="4452" yWindow="3096" windowWidth="17280" windowHeight="8964" xr2:uid="{00000000-000D-0000-FFFF-FFFF00000000}"/>
  </bookViews>
  <sheets>
    <sheet name="Anonymized Grades 564 bas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9" i="3" l="1"/>
  <c r="D169" i="3"/>
  <c r="E168" i="3"/>
  <c r="D168" i="3"/>
  <c r="D167" i="3"/>
  <c r="E167" i="3" s="1"/>
  <c r="E166" i="3"/>
  <c r="D166" i="3"/>
  <c r="E165" i="3"/>
  <c r="D165" i="3"/>
  <c r="E164" i="3"/>
  <c r="D164" i="3"/>
  <c r="E163" i="3"/>
  <c r="D163" i="3"/>
  <c r="D162" i="3"/>
  <c r="E162" i="3" s="1"/>
  <c r="E161" i="3"/>
  <c r="D161" i="3"/>
  <c r="E160" i="3"/>
  <c r="D160" i="3"/>
  <c r="D159" i="3"/>
  <c r="E159" i="3" s="1"/>
  <c r="E158" i="3"/>
  <c r="D158" i="3"/>
  <c r="E157" i="3"/>
  <c r="D157" i="3"/>
  <c r="E156" i="3"/>
  <c r="D156" i="3"/>
  <c r="E155" i="3"/>
  <c r="D155" i="3"/>
  <c r="D154" i="3"/>
  <c r="E154" i="3" s="1"/>
  <c r="E153" i="3"/>
  <c r="D153" i="3"/>
  <c r="E152" i="3"/>
  <c r="D152" i="3"/>
  <c r="D151" i="3"/>
  <c r="E151" i="3" s="1"/>
  <c r="E150" i="3"/>
  <c r="D150" i="3"/>
  <c r="E149" i="3"/>
  <c r="D149" i="3"/>
  <c r="E148" i="3"/>
  <c r="D148" i="3"/>
  <c r="E147" i="3"/>
  <c r="D147" i="3"/>
  <c r="D146" i="3"/>
  <c r="E146" i="3" s="1"/>
  <c r="E145" i="3"/>
  <c r="D145" i="3"/>
  <c r="E144" i="3"/>
  <c r="D144" i="3"/>
  <c r="D143" i="3"/>
  <c r="E143" i="3" s="1"/>
  <c r="E142" i="3"/>
  <c r="D142" i="3"/>
  <c r="E141" i="3"/>
  <c r="D141" i="3"/>
  <c r="E140" i="3"/>
  <c r="D140" i="3"/>
  <c r="E139" i="3"/>
  <c r="D139" i="3"/>
  <c r="D138" i="3"/>
  <c r="E138" i="3" s="1"/>
  <c r="E137" i="3"/>
  <c r="D137" i="3"/>
  <c r="E136" i="3"/>
  <c r="D136" i="3"/>
  <c r="D135" i="3"/>
  <c r="E135" i="3" s="1"/>
  <c r="E134" i="3"/>
  <c r="D134" i="3"/>
  <c r="E133" i="3"/>
  <c r="D133" i="3"/>
  <c r="E132" i="3"/>
  <c r="D132" i="3"/>
  <c r="E131" i="3"/>
  <c r="D131" i="3"/>
  <c r="D130" i="3"/>
  <c r="E130" i="3" s="1"/>
  <c r="E129" i="3"/>
  <c r="D129" i="3"/>
  <c r="E128" i="3"/>
  <c r="D128" i="3"/>
  <c r="D127" i="3"/>
  <c r="E127" i="3" s="1"/>
  <c r="E126" i="3"/>
  <c r="D126" i="3"/>
  <c r="E125" i="3"/>
  <c r="D125" i="3"/>
  <c r="E124" i="3"/>
  <c r="D124" i="3"/>
  <c r="E123" i="3"/>
  <c r="D123" i="3"/>
  <c r="D122" i="3"/>
  <c r="E122" i="3" s="1"/>
  <c r="E121" i="3"/>
  <c r="D121" i="3"/>
  <c r="E120" i="3"/>
  <c r="D120" i="3"/>
  <c r="D119" i="3"/>
  <c r="E119" i="3" s="1"/>
  <c r="E118" i="3"/>
  <c r="D118" i="3"/>
  <c r="E117" i="3"/>
  <c r="D117" i="3"/>
  <c r="E116" i="3"/>
  <c r="D116" i="3"/>
  <c r="E115" i="3"/>
  <c r="D115" i="3"/>
  <c r="D114" i="3"/>
  <c r="E114" i="3" s="1"/>
  <c r="E113" i="3"/>
  <c r="D113" i="3"/>
  <c r="E112" i="3"/>
  <c r="D112" i="3"/>
  <c r="D111" i="3"/>
  <c r="E111" i="3" s="1"/>
  <c r="E110" i="3"/>
  <c r="D110" i="3"/>
  <c r="E109" i="3"/>
  <c r="D109" i="3"/>
  <c r="E108" i="3"/>
  <c r="D108" i="3"/>
  <c r="A107" i="3"/>
  <c r="D107" i="3" s="1"/>
  <c r="E107" i="3" s="1"/>
  <c r="E106" i="3"/>
  <c r="D106" i="3"/>
  <c r="D105" i="3"/>
  <c r="E105" i="3" s="1"/>
  <c r="D104" i="3"/>
  <c r="E104" i="3" s="1"/>
  <c r="E103" i="3"/>
  <c r="D103" i="3"/>
  <c r="A103" i="3"/>
  <c r="E102" i="3"/>
  <c r="D102" i="3"/>
  <c r="E101" i="3"/>
  <c r="D101" i="3"/>
  <c r="D100" i="3"/>
  <c r="E100" i="3" s="1"/>
  <c r="D99" i="3"/>
  <c r="E99" i="3" s="1"/>
  <c r="D98" i="3"/>
  <c r="E98" i="3" s="1"/>
  <c r="D97" i="3"/>
  <c r="E97" i="3" s="1"/>
  <c r="D96" i="3"/>
  <c r="E96" i="3" s="1"/>
  <c r="E95" i="3"/>
  <c r="D95" i="3"/>
  <c r="E94" i="3"/>
  <c r="D94" i="3"/>
  <c r="E93" i="3"/>
  <c r="D93" i="3"/>
  <c r="D92" i="3"/>
  <c r="E92" i="3" s="1"/>
  <c r="D91" i="3"/>
  <c r="E91" i="3" s="1"/>
  <c r="D90" i="3"/>
  <c r="E90" i="3" s="1"/>
  <c r="D89" i="3"/>
  <c r="E89" i="3" s="1"/>
  <c r="D88" i="3"/>
  <c r="E88" i="3" s="1"/>
  <c r="E87" i="3"/>
  <c r="D87" i="3"/>
  <c r="E86" i="3"/>
  <c r="D86" i="3"/>
  <c r="E85" i="3"/>
  <c r="D85" i="3"/>
  <c r="D84" i="3"/>
  <c r="E84" i="3" s="1"/>
  <c r="D83" i="3"/>
  <c r="E83" i="3" s="1"/>
  <c r="D82" i="3"/>
  <c r="E82" i="3" s="1"/>
  <c r="D81" i="3"/>
  <c r="E81" i="3" s="1"/>
  <c r="D80" i="3"/>
  <c r="E80" i="3" s="1"/>
  <c r="E79" i="3"/>
  <c r="D79" i="3"/>
  <c r="E78" i="3"/>
  <c r="D78" i="3"/>
  <c r="A77" i="3"/>
  <c r="D77" i="3" s="1"/>
  <c r="E77" i="3" s="1"/>
  <c r="D76" i="3"/>
  <c r="E76" i="3" s="1"/>
  <c r="E75" i="3"/>
  <c r="D75" i="3"/>
  <c r="E74" i="3"/>
  <c r="D74" i="3"/>
  <c r="D73" i="3"/>
  <c r="E73" i="3" s="1"/>
  <c r="E72" i="3"/>
  <c r="D72" i="3"/>
  <c r="D71" i="3"/>
  <c r="E71" i="3" s="1"/>
  <c r="D70" i="3"/>
  <c r="E70" i="3" s="1"/>
  <c r="D69" i="3"/>
  <c r="E69" i="3" s="1"/>
  <c r="D68" i="3"/>
  <c r="E68" i="3" s="1"/>
  <c r="E67" i="3"/>
  <c r="D67" i="3"/>
  <c r="E66" i="3"/>
  <c r="D66" i="3"/>
  <c r="D65" i="3"/>
  <c r="E65" i="3" s="1"/>
  <c r="E64" i="3"/>
  <c r="D64" i="3"/>
  <c r="E63" i="3"/>
  <c r="D63" i="3"/>
  <c r="D62" i="3"/>
  <c r="E62" i="3" s="1"/>
  <c r="D61" i="3"/>
  <c r="E61" i="3" s="1"/>
  <c r="D60" i="3"/>
  <c r="E60" i="3" s="1"/>
  <c r="E59" i="3"/>
  <c r="D59" i="3"/>
  <c r="E58" i="3"/>
  <c r="D58" i="3"/>
  <c r="D57" i="3"/>
  <c r="E57" i="3" s="1"/>
  <c r="E56" i="3"/>
  <c r="D56" i="3"/>
  <c r="E55" i="3"/>
  <c r="D55" i="3"/>
  <c r="D54" i="3"/>
  <c r="E54" i="3" s="1"/>
  <c r="D53" i="3"/>
  <c r="E53" i="3" s="1"/>
  <c r="D52" i="3"/>
  <c r="E52" i="3" s="1"/>
  <c r="E51" i="3"/>
  <c r="D51" i="3"/>
  <c r="E50" i="3"/>
  <c r="D50" i="3"/>
  <c r="D49" i="3"/>
  <c r="E49" i="3" s="1"/>
  <c r="E48" i="3"/>
  <c r="D48" i="3"/>
  <c r="E47" i="3"/>
  <c r="D47" i="3"/>
  <c r="D46" i="3"/>
  <c r="E46" i="3" s="1"/>
  <c r="D45" i="3"/>
  <c r="E45" i="3" s="1"/>
  <c r="D44" i="3"/>
  <c r="E44" i="3" s="1"/>
  <c r="E43" i="3"/>
  <c r="D43" i="3"/>
  <c r="E42" i="3"/>
  <c r="D42" i="3"/>
  <c r="D41" i="3"/>
  <c r="E41" i="3" s="1"/>
  <c r="E40" i="3"/>
  <c r="D40" i="3"/>
  <c r="E39" i="3"/>
  <c r="D39" i="3"/>
  <c r="D38" i="3"/>
  <c r="E38" i="3" s="1"/>
  <c r="E37" i="3"/>
  <c r="D37" i="3"/>
  <c r="D36" i="3"/>
  <c r="E36" i="3" s="1"/>
  <c r="E35" i="3"/>
  <c r="D35" i="3"/>
  <c r="E34" i="3"/>
  <c r="D34" i="3"/>
  <c r="D33" i="3"/>
  <c r="E33" i="3" s="1"/>
  <c r="E32" i="3"/>
  <c r="D32" i="3"/>
  <c r="E31" i="3"/>
  <c r="D31" i="3"/>
  <c r="D30" i="3"/>
  <c r="E30" i="3" s="1"/>
  <c r="D29" i="3"/>
  <c r="E29" i="3" s="1"/>
  <c r="D28" i="3"/>
  <c r="E28" i="3" s="1"/>
  <c r="E27" i="3"/>
  <c r="D27" i="3"/>
  <c r="E26" i="3"/>
  <c r="D26" i="3"/>
  <c r="D25" i="3"/>
  <c r="E25" i="3" s="1"/>
  <c r="E24" i="3"/>
  <c r="D24" i="3"/>
  <c r="E23" i="3"/>
  <c r="D23" i="3"/>
  <c r="D22" i="3"/>
  <c r="E22" i="3" s="1"/>
  <c r="D21" i="3"/>
  <c r="E21" i="3" s="1"/>
  <c r="D20" i="3"/>
  <c r="E20" i="3" s="1"/>
  <c r="E19" i="3"/>
  <c r="D19" i="3"/>
  <c r="E18" i="3"/>
  <c r="D18" i="3"/>
  <c r="D17" i="3"/>
  <c r="E17" i="3" s="1"/>
  <c r="E16" i="3"/>
  <c r="D16" i="3"/>
  <c r="E15" i="3"/>
  <c r="D15" i="3"/>
  <c r="D14" i="3"/>
  <c r="E14" i="3" s="1"/>
  <c r="D13" i="3"/>
  <c r="E13" i="3" s="1"/>
  <c r="D12" i="3"/>
  <c r="E12" i="3" s="1"/>
  <c r="E11" i="3"/>
  <c r="D11" i="3"/>
  <c r="E10" i="3"/>
  <c r="D10" i="3"/>
  <c r="D9" i="3"/>
  <c r="E9" i="3" s="1"/>
  <c r="E8" i="3"/>
  <c r="D8" i="3"/>
  <c r="E7" i="3"/>
  <c r="D7" i="3"/>
  <c r="D6" i="3"/>
  <c r="E6" i="3" s="1"/>
  <c r="D5" i="3"/>
  <c r="E5" i="3" s="1"/>
  <c r="D4" i="3"/>
  <c r="E4" i="3" s="1"/>
  <c r="E3" i="3"/>
  <c r="D3" i="3"/>
  <c r="E2" i="3"/>
  <c r="D2" i="3"/>
  <c r="B172" i="3" l="1"/>
  <c r="B173" i="3"/>
</calcChain>
</file>

<file path=xl/sharedStrings.xml><?xml version="1.0" encoding="utf-8"?>
<sst xmlns="http://schemas.openxmlformats.org/spreadsheetml/2006/main" count="7" uniqueCount="7">
  <si>
    <t>#cycles (round0+round1)</t>
  </si>
  <si>
    <t>Area (um^2)</t>
  </si>
  <si>
    <t>clk (ns)</t>
  </si>
  <si>
    <t>Performance</t>
  </si>
  <si>
    <t>Performance/1000000</t>
  </si>
  <si>
    <t xml:space="preserve">Median =&gt; </t>
  </si>
  <si>
    <t>Avg 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</si>
</sst>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2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982"/>
  <sheetViews>
    <sheetView tabSelected="1" workbookViewId="0">
      <selection activeCell="G4" sqref="G4"/>
    </sheetView>
  </sheetViews>
  <sheetFormatPr defaultColWidth="12.6640625" defaultRowHeight="15.75" customHeight="1" x14ac:dyDescent="0.25"/>
  <cols>
    <col min="1" max="1" width="18.88671875" customWidth="1"/>
    <col min="3" max="3" width="6.33203125" customWidth="1"/>
    <col min="5" max="5" width="16.77734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x14ac:dyDescent="0.25">
      <c r="A2" s="6">
        <v>1892</v>
      </c>
      <c r="B2" s="6">
        <v>10941.91</v>
      </c>
      <c r="C2" s="6">
        <v>3.8</v>
      </c>
      <c r="D2" s="6">
        <f t="shared" ref="D2:D169" si="0">A2*B2*C2</f>
        <v>78667956.135999992</v>
      </c>
      <c r="E2" s="6">
        <f t="shared" ref="E2:E169" si="1">D2/1000000</f>
        <v>78.667956135999987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x14ac:dyDescent="0.25">
      <c r="A3" s="6">
        <v>8073</v>
      </c>
      <c r="B3" s="6">
        <v>10110.1281</v>
      </c>
      <c r="C3" s="6">
        <v>1</v>
      </c>
      <c r="D3" s="6">
        <f t="shared" si="0"/>
        <v>81619064.151299998</v>
      </c>
      <c r="E3" s="6">
        <f t="shared" si="1"/>
        <v>81.619064151299995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25">
      <c r="A4" s="6">
        <v>7090</v>
      </c>
      <c r="B4" s="6">
        <v>5362</v>
      </c>
      <c r="C4" s="6">
        <v>2.5</v>
      </c>
      <c r="D4" s="6">
        <f t="shared" si="0"/>
        <v>95041450</v>
      </c>
      <c r="E4" s="6">
        <f t="shared" si="1"/>
        <v>95.041449999999998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x14ac:dyDescent="0.25">
      <c r="A5" s="6">
        <v>1874</v>
      </c>
      <c r="B5" s="6">
        <v>10905.733899999999</v>
      </c>
      <c r="C5" s="6">
        <v>5</v>
      </c>
      <c r="D5" s="6">
        <f t="shared" si="0"/>
        <v>102186726.64299998</v>
      </c>
      <c r="E5" s="6">
        <f t="shared" si="1"/>
        <v>102.18672664299997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6">
        <v>1772</v>
      </c>
      <c r="B6" s="6">
        <v>11030.487999999999</v>
      </c>
      <c r="C6" s="6">
        <v>5.5</v>
      </c>
      <c r="D6" s="6">
        <f t="shared" si="0"/>
        <v>107503136.04799999</v>
      </c>
      <c r="E6" s="6">
        <f t="shared" si="1"/>
        <v>107.50313604799999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6">
        <v>3232</v>
      </c>
      <c r="B7" s="6">
        <v>9614</v>
      </c>
      <c r="C7" s="6">
        <v>3.5</v>
      </c>
      <c r="D7" s="6">
        <f t="shared" si="0"/>
        <v>108753568</v>
      </c>
      <c r="E7" s="6">
        <f t="shared" si="1"/>
        <v>108.753568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6">
        <v>1750</v>
      </c>
      <c r="B8" s="6">
        <v>8956.4860000000008</v>
      </c>
      <c r="C8" s="6">
        <v>7</v>
      </c>
      <c r="D8" s="6">
        <f t="shared" si="0"/>
        <v>109716953.50000001</v>
      </c>
      <c r="E8" s="6">
        <f t="shared" si="1"/>
        <v>109.71695350000002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6">
        <v>2226</v>
      </c>
      <c r="B9" s="6">
        <v>10539.984</v>
      </c>
      <c r="C9" s="6">
        <v>5</v>
      </c>
      <c r="D9" s="6">
        <f t="shared" si="0"/>
        <v>117310021.92</v>
      </c>
      <c r="E9" s="6">
        <f t="shared" si="1"/>
        <v>117.31002192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6">
        <v>1856</v>
      </c>
      <c r="B10" s="6">
        <v>9609</v>
      </c>
      <c r="C10" s="6">
        <v>6.7</v>
      </c>
      <c r="D10" s="6">
        <f t="shared" si="0"/>
        <v>119489836.8</v>
      </c>
      <c r="E10" s="6">
        <f t="shared" si="1"/>
        <v>119.48983679999999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6">
        <v>3140</v>
      </c>
      <c r="B11" s="6">
        <v>7700</v>
      </c>
      <c r="C11" s="6">
        <v>5</v>
      </c>
      <c r="D11" s="6">
        <f t="shared" si="0"/>
        <v>120890000</v>
      </c>
      <c r="E11" s="6">
        <f t="shared" si="1"/>
        <v>120.89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6">
        <v>3142</v>
      </c>
      <c r="B12" s="6">
        <v>7705.2219999999998</v>
      </c>
      <c r="C12" s="6">
        <v>5</v>
      </c>
      <c r="D12" s="6">
        <f t="shared" si="0"/>
        <v>121049037.62</v>
      </c>
      <c r="E12" s="6">
        <f t="shared" si="1"/>
        <v>121.04903762000001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6">
        <v>3154</v>
      </c>
      <c r="B13" s="6">
        <v>7839</v>
      </c>
      <c r="C13" s="6">
        <v>4.9000000000000004</v>
      </c>
      <c r="D13" s="6">
        <f t="shared" si="0"/>
        <v>121148609.40000001</v>
      </c>
      <c r="E13" s="6">
        <f t="shared" si="1"/>
        <v>121.14860940000001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6">
        <v>3142</v>
      </c>
      <c r="B14" s="6">
        <v>7725.4380000000001</v>
      </c>
      <c r="C14" s="6">
        <v>5</v>
      </c>
      <c r="D14" s="6">
        <f t="shared" si="0"/>
        <v>121366630.97999999</v>
      </c>
      <c r="E14" s="6">
        <f t="shared" si="1"/>
        <v>121.36663097999998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6">
        <v>3144</v>
      </c>
      <c r="B15" s="6">
        <v>6865.1940000000004</v>
      </c>
      <c r="C15" s="6">
        <v>5.7</v>
      </c>
      <c r="D15" s="6">
        <f t="shared" si="0"/>
        <v>123029768.63520001</v>
      </c>
      <c r="E15" s="6">
        <f t="shared" si="1"/>
        <v>123.02976863520001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6">
        <v>3152</v>
      </c>
      <c r="B16" s="6">
        <v>9508.4359999999997</v>
      </c>
      <c r="C16" s="6">
        <v>4.1100000000000003</v>
      </c>
      <c r="D16" s="6">
        <f t="shared" si="0"/>
        <v>123179126.01792</v>
      </c>
      <c r="E16" s="6">
        <f t="shared" si="1"/>
        <v>123.17912601792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25">
      <c r="A17" s="6">
        <v>4710</v>
      </c>
      <c r="B17" s="6">
        <v>6884</v>
      </c>
      <c r="C17" s="6">
        <v>4</v>
      </c>
      <c r="D17" s="6">
        <f t="shared" si="0"/>
        <v>129694560</v>
      </c>
      <c r="E17" s="6">
        <f t="shared" si="1"/>
        <v>129.69456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25">
      <c r="A18" s="6">
        <v>3156</v>
      </c>
      <c r="B18" s="6">
        <v>7590.0441000000001</v>
      </c>
      <c r="C18" s="6">
        <v>5.5</v>
      </c>
      <c r="D18" s="6">
        <f t="shared" si="0"/>
        <v>131747985.4878</v>
      </c>
      <c r="E18" s="6">
        <f t="shared" si="1"/>
        <v>131.74798548780001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25">
      <c r="A19" s="6">
        <v>5604</v>
      </c>
      <c r="B19" s="6">
        <v>4726.5540000000001</v>
      </c>
      <c r="C19" s="6">
        <v>5</v>
      </c>
      <c r="D19" s="6">
        <f t="shared" si="0"/>
        <v>132438043.08</v>
      </c>
      <c r="E19" s="6">
        <f t="shared" si="1"/>
        <v>132.43804308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25">
      <c r="A20" s="6">
        <v>3192</v>
      </c>
      <c r="B20" s="6">
        <v>9956.6460000000006</v>
      </c>
      <c r="C20" s="6">
        <v>4.2</v>
      </c>
      <c r="D20" s="6">
        <f t="shared" si="0"/>
        <v>133482778.93440001</v>
      </c>
      <c r="E20" s="6">
        <f t="shared" si="1"/>
        <v>133.48277893440002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25">
      <c r="A21" s="6">
        <v>3184</v>
      </c>
      <c r="B21" s="6">
        <v>7643.2439000000004</v>
      </c>
      <c r="C21" s="6">
        <v>5.5</v>
      </c>
      <c r="D21" s="6">
        <f t="shared" si="0"/>
        <v>133848487.17680001</v>
      </c>
      <c r="E21" s="6">
        <f t="shared" si="1"/>
        <v>133.84848717680001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25">
      <c r="A22" s="6">
        <v>7044</v>
      </c>
      <c r="B22" s="6">
        <v>4233</v>
      </c>
      <c r="C22" s="6">
        <v>4.5</v>
      </c>
      <c r="D22" s="6">
        <f t="shared" si="0"/>
        <v>134177634</v>
      </c>
      <c r="E22" s="6">
        <f t="shared" si="1"/>
        <v>134.17763400000001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25">
      <c r="A23" s="6">
        <v>3174</v>
      </c>
      <c r="B23" s="6">
        <v>8317.8199000000004</v>
      </c>
      <c r="C23" s="6">
        <v>5.2</v>
      </c>
      <c r="D23" s="6">
        <f t="shared" si="0"/>
        <v>137283953.88552001</v>
      </c>
      <c r="E23" s="6">
        <f t="shared" si="1"/>
        <v>137.28395388552002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25">
      <c r="A24" s="6">
        <v>4746</v>
      </c>
      <c r="B24" s="6">
        <v>7116</v>
      </c>
      <c r="C24" s="6">
        <v>4.0999999999999996</v>
      </c>
      <c r="D24" s="6">
        <f t="shared" si="0"/>
        <v>138467397.59999999</v>
      </c>
      <c r="E24" s="6">
        <f t="shared" si="1"/>
        <v>138.4673976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25">
      <c r="A25" s="6">
        <v>4704</v>
      </c>
      <c r="B25" s="6">
        <v>4225</v>
      </c>
      <c r="C25" s="6">
        <v>7</v>
      </c>
      <c r="D25" s="6">
        <f t="shared" si="0"/>
        <v>139120800</v>
      </c>
      <c r="E25" s="6">
        <f t="shared" si="1"/>
        <v>139.1208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25">
      <c r="A26" s="6">
        <v>3188</v>
      </c>
      <c r="B26" s="6">
        <v>8618.1339000000007</v>
      </c>
      <c r="C26" s="6">
        <v>5.0999999999999996</v>
      </c>
      <c r="D26" s="6">
        <f t="shared" si="0"/>
        <v>140120515.45332</v>
      </c>
      <c r="E26" s="6">
        <f t="shared" si="1"/>
        <v>140.12051545332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25">
      <c r="A27" s="6">
        <v>3198</v>
      </c>
      <c r="B27" s="6">
        <v>10393.950000000001</v>
      </c>
      <c r="C27" s="6">
        <v>4.4000000000000004</v>
      </c>
      <c r="D27" s="6">
        <f t="shared" si="0"/>
        <v>146255349.24000001</v>
      </c>
      <c r="E27" s="6">
        <f t="shared" si="1"/>
        <v>146.25534924000002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25">
      <c r="A28" s="6">
        <v>9422</v>
      </c>
      <c r="B28" s="6">
        <v>4848</v>
      </c>
      <c r="C28" s="6">
        <v>3.4</v>
      </c>
      <c r="D28" s="6">
        <f t="shared" si="0"/>
        <v>155304710.40000001</v>
      </c>
      <c r="E28" s="6">
        <f t="shared" si="1"/>
        <v>155.3047104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25">
      <c r="A29" s="6">
        <v>3146</v>
      </c>
      <c r="B29" s="6">
        <v>9474.9199000000008</v>
      </c>
      <c r="C29" s="6">
        <v>5.25</v>
      </c>
      <c r="D29" s="6">
        <f t="shared" si="0"/>
        <v>156492514.52835</v>
      </c>
      <c r="E29" s="6">
        <f t="shared" si="1"/>
        <v>156.49251452835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25">
      <c r="A30" s="6">
        <v>4044</v>
      </c>
      <c r="B30" s="6">
        <v>6458</v>
      </c>
      <c r="C30" s="6">
        <v>6</v>
      </c>
      <c r="D30" s="6">
        <f t="shared" si="0"/>
        <v>156696912</v>
      </c>
      <c r="E30" s="6">
        <f t="shared" si="1"/>
        <v>156.696912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25">
      <c r="A31" s="6">
        <v>4712</v>
      </c>
      <c r="B31" s="6">
        <v>5223</v>
      </c>
      <c r="C31" s="6">
        <v>6.5</v>
      </c>
      <c r="D31" s="6">
        <f t="shared" si="0"/>
        <v>159970044</v>
      </c>
      <c r="E31" s="6">
        <f t="shared" si="1"/>
        <v>159.970044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25">
      <c r="A32" s="6">
        <v>6081</v>
      </c>
      <c r="B32" s="6">
        <v>4825.7719999999999</v>
      </c>
      <c r="C32" s="6">
        <v>5.5</v>
      </c>
      <c r="D32" s="6">
        <f t="shared" si="0"/>
        <v>161400357.426</v>
      </c>
      <c r="E32" s="6">
        <f t="shared" si="1"/>
        <v>161.400357426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25">
      <c r="A33" s="6">
        <v>4074</v>
      </c>
      <c r="B33" s="6">
        <v>5484.6540000000005</v>
      </c>
      <c r="C33" s="6">
        <v>7.3</v>
      </c>
      <c r="D33" s="6">
        <f t="shared" si="0"/>
        <v>163114706.8908</v>
      </c>
      <c r="E33" s="6">
        <f t="shared" si="1"/>
        <v>163.11470689079999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x14ac:dyDescent="0.25">
      <c r="A34" s="6">
        <v>7828</v>
      </c>
      <c r="B34" s="6">
        <v>6779.01</v>
      </c>
      <c r="C34" s="6">
        <v>3.3</v>
      </c>
      <c r="D34" s="6">
        <f t="shared" si="0"/>
        <v>175118097.92399999</v>
      </c>
      <c r="E34" s="6">
        <f t="shared" si="1"/>
        <v>175.11809792399998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25">
      <c r="A35" s="6">
        <v>1746</v>
      </c>
      <c r="B35" s="6">
        <v>18401.081900000001</v>
      </c>
      <c r="C35" s="6">
        <v>5.5</v>
      </c>
      <c r="D35" s="6">
        <f t="shared" si="0"/>
        <v>176705589.48570001</v>
      </c>
      <c r="E35" s="6">
        <f t="shared" si="1"/>
        <v>176.70558948570002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x14ac:dyDescent="0.25">
      <c r="A36" s="6">
        <v>5502</v>
      </c>
      <c r="B36" s="6">
        <v>4600.2039999999997</v>
      </c>
      <c r="C36" s="6">
        <v>7</v>
      </c>
      <c r="D36" s="6">
        <f t="shared" si="0"/>
        <v>177172256.85600001</v>
      </c>
      <c r="E36" s="6">
        <f t="shared" si="1"/>
        <v>177.17225685600002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x14ac:dyDescent="0.25">
      <c r="A37" s="6">
        <v>4702</v>
      </c>
      <c r="B37" s="6">
        <v>5026</v>
      </c>
      <c r="C37" s="6">
        <v>7.5</v>
      </c>
      <c r="D37" s="6">
        <f t="shared" si="0"/>
        <v>177241890</v>
      </c>
      <c r="E37" s="6">
        <f t="shared" si="1"/>
        <v>177.24189000000001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25">
      <c r="A38" s="6">
        <v>1952</v>
      </c>
      <c r="B38" s="6">
        <v>14156.786099999999</v>
      </c>
      <c r="C38" s="6">
        <v>6.5</v>
      </c>
      <c r="D38" s="6">
        <f t="shared" si="0"/>
        <v>179621302.0368</v>
      </c>
      <c r="E38" s="6">
        <f t="shared" si="1"/>
        <v>179.62130203679999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25">
      <c r="A39" s="6">
        <v>3160</v>
      </c>
      <c r="B39" s="6">
        <v>14963.031999999999</v>
      </c>
      <c r="C39" s="6">
        <v>3.8</v>
      </c>
      <c r="D39" s="6">
        <f t="shared" si="0"/>
        <v>179676088.25599998</v>
      </c>
      <c r="E39" s="6">
        <f t="shared" si="1"/>
        <v>179.67608825599999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x14ac:dyDescent="0.25">
      <c r="A40" s="6">
        <v>1782</v>
      </c>
      <c r="B40" s="6">
        <v>18433.267899999999</v>
      </c>
      <c r="C40" s="6">
        <v>5.5</v>
      </c>
      <c r="D40" s="6">
        <f t="shared" si="0"/>
        <v>180664458.68790001</v>
      </c>
      <c r="E40" s="6">
        <f t="shared" si="1"/>
        <v>180.66445868790001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x14ac:dyDescent="0.25">
      <c r="A41" s="6">
        <v>3950</v>
      </c>
      <c r="B41" s="6">
        <v>6153.6440000000002</v>
      </c>
      <c r="C41" s="6">
        <v>7.5</v>
      </c>
      <c r="D41" s="6">
        <f t="shared" si="0"/>
        <v>182301703.5</v>
      </c>
      <c r="E41" s="6">
        <f t="shared" si="1"/>
        <v>182.3017035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x14ac:dyDescent="0.25">
      <c r="A42" s="6">
        <v>1804</v>
      </c>
      <c r="B42" s="6">
        <v>20005</v>
      </c>
      <c r="C42" s="6">
        <v>5.19</v>
      </c>
      <c r="D42" s="6">
        <f t="shared" si="0"/>
        <v>187302013.80000001</v>
      </c>
      <c r="E42" s="6">
        <f t="shared" si="1"/>
        <v>187.30201380000003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x14ac:dyDescent="0.25">
      <c r="A43" s="6">
        <v>7144</v>
      </c>
      <c r="B43" s="6">
        <v>7774</v>
      </c>
      <c r="C43" s="6">
        <v>3.45</v>
      </c>
      <c r="D43" s="6">
        <f t="shared" si="0"/>
        <v>191604223.20000002</v>
      </c>
      <c r="E43" s="6">
        <f t="shared" si="1"/>
        <v>191.60422320000001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x14ac:dyDescent="0.25">
      <c r="A44" s="6">
        <v>5510</v>
      </c>
      <c r="B44" s="6">
        <v>6556.634</v>
      </c>
      <c r="C44" s="6">
        <v>5.33</v>
      </c>
      <c r="D44" s="6">
        <f t="shared" si="0"/>
        <v>192557194.30220002</v>
      </c>
      <c r="E44" s="6">
        <f t="shared" si="1"/>
        <v>192.55719430220003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x14ac:dyDescent="0.25">
      <c r="A45" s="6">
        <v>5504</v>
      </c>
      <c r="B45" s="6">
        <v>6889.4</v>
      </c>
      <c r="C45" s="6">
        <v>5.25</v>
      </c>
      <c r="D45" s="6">
        <f t="shared" si="0"/>
        <v>199076102.40000001</v>
      </c>
      <c r="E45" s="6">
        <f t="shared" si="1"/>
        <v>199.0761024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x14ac:dyDescent="0.25">
      <c r="A46" s="6">
        <v>5500</v>
      </c>
      <c r="B46" s="6">
        <v>5618</v>
      </c>
      <c r="C46" s="6">
        <v>6.5</v>
      </c>
      <c r="D46" s="6">
        <f t="shared" si="0"/>
        <v>200843500</v>
      </c>
      <c r="E46" s="6">
        <f t="shared" si="1"/>
        <v>200.84350000000001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x14ac:dyDescent="0.25">
      <c r="A47" s="6">
        <v>16790</v>
      </c>
      <c r="B47" s="6">
        <v>2463</v>
      </c>
      <c r="C47" s="6">
        <v>4.9000000000000004</v>
      </c>
      <c r="D47" s="6">
        <f t="shared" si="0"/>
        <v>202633473</v>
      </c>
      <c r="E47" s="6">
        <f t="shared" si="1"/>
        <v>202.63347300000001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x14ac:dyDescent="0.25">
      <c r="A48" s="6">
        <v>7506</v>
      </c>
      <c r="B48" s="6">
        <v>6296.4859999999999</v>
      </c>
      <c r="C48" s="6">
        <v>4.4000000000000004</v>
      </c>
      <c r="D48" s="6">
        <f t="shared" si="0"/>
        <v>207950265.23040003</v>
      </c>
      <c r="E48" s="6">
        <f t="shared" si="1"/>
        <v>207.95026523040002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x14ac:dyDescent="0.25">
      <c r="A49" s="6">
        <v>1362</v>
      </c>
      <c r="B49" s="6">
        <v>29497.537799999998</v>
      </c>
      <c r="C49" s="6">
        <v>5.3</v>
      </c>
      <c r="D49" s="6">
        <f t="shared" si="0"/>
        <v>212930926.36307999</v>
      </c>
      <c r="E49" s="6">
        <f t="shared" si="1"/>
        <v>212.93092636308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x14ac:dyDescent="0.25">
      <c r="A50" s="6">
        <v>5586</v>
      </c>
      <c r="B50" s="6">
        <v>6613.0259999999998</v>
      </c>
      <c r="C50" s="6">
        <v>5.85</v>
      </c>
      <c r="D50" s="6">
        <f t="shared" si="0"/>
        <v>216101124.93059999</v>
      </c>
      <c r="E50" s="6">
        <f t="shared" si="1"/>
        <v>216.10112493059998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x14ac:dyDescent="0.25">
      <c r="A51" s="6">
        <v>5899</v>
      </c>
      <c r="B51" s="6">
        <v>7729.96</v>
      </c>
      <c r="C51" s="6">
        <v>4.8</v>
      </c>
      <c r="D51" s="6">
        <f t="shared" si="0"/>
        <v>218875363.39199999</v>
      </c>
      <c r="E51" s="6">
        <f t="shared" si="1"/>
        <v>218.875363392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x14ac:dyDescent="0.25">
      <c r="A52" s="6">
        <v>7040</v>
      </c>
      <c r="B52" s="6">
        <v>6612.2280000000001</v>
      </c>
      <c r="C52" s="6">
        <v>4.8</v>
      </c>
      <c r="D52" s="6">
        <f t="shared" si="0"/>
        <v>223440408.57599998</v>
      </c>
      <c r="E52" s="6">
        <f t="shared" si="1"/>
        <v>223.44040857599998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x14ac:dyDescent="0.25">
      <c r="A53" s="6">
        <v>5502</v>
      </c>
      <c r="B53" s="6">
        <v>5959</v>
      </c>
      <c r="C53" s="6">
        <v>7</v>
      </c>
      <c r="D53" s="6">
        <f t="shared" si="0"/>
        <v>229504926</v>
      </c>
      <c r="E53" s="6">
        <f t="shared" si="1"/>
        <v>229.50492600000001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x14ac:dyDescent="0.25">
      <c r="A54" s="6">
        <v>6830</v>
      </c>
      <c r="B54" s="6">
        <v>6748</v>
      </c>
      <c r="C54" s="6">
        <v>5</v>
      </c>
      <c r="D54" s="6">
        <f t="shared" si="0"/>
        <v>230444200</v>
      </c>
      <c r="E54" s="6">
        <f t="shared" si="1"/>
        <v>230.4442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x14ac:dyDescent="0.25">
      <c r="A55" s="6">
        <v>5502</v>
      </c>
      <c r="B55" s="6">
        <v>4216.9459999999999</v>
      </c>
      <c r="C55" s="6">
        <v>10</v>
      </c>
      <c r="D55" s="6">
        <f t="shared" si="0"/>
        <v>232016368.92000002</v>
      </c>
      <c r="E55" s="6">
        <f t="shared" si="1"/>
        <v>232.01636892000002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x14ac:dyDescent="0.25">
      <c r="A56" s="6">
        <v>4692</v>
      </c>
      <c r="B56" s="6">
        <v>12385</v>
      </c>
      <c r="C56" s="6">
        <v>4</v>
      </c>
      <c r="D56" s="6">
        <f t="shared" si="0"/>
        <v>232441680</v>
      </c>
      <c r="E56" s="6">
        <f t="shared" si="1"/>
        <v>232.44167999999999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x14ac:dyDescent="0.25">
      <c r="A57" s="6">
        <v>14066</v>
      </c>
      <c r="B57" s="6">
        <v>3328.99</v>
      </c>
      <c r="C57" s="6">
        <v>5</v>
      </c>
      <c r="D57" s="6">
        <f t="shared" si="0"/>
        <v>234127866.69999999</v>
      </c>
      <c r="E57" s="6">
        <f t="shared" si="1"/>
        <v>234.1278667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x14ac:dyDescent="0.25">
      <c r="A58" s="6">
        <v>4770</v>
      </c>
      <c r="B58" s="6">
        <v>6140</v>
      </c>
      <c r="C58" s="6">
        <v>8</v>
      </c>
      <c r="D58" s="6">
        <f t="shared" si="0"/>
        <v>234302400</v>
      </c>
      <c r="E58" s="6">
        <f t="shared" si="1"/>
        <v>234.30240000000001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x14ac:dyDescent="0.25">
      <c r="A59" s="6">
        <v>3538</v>
      </c>
      <c r="B59" s="6">
        <v>8910.2019999999993</v>
      </c>
      <c r="C59" s="6">
        <v>7.5</v>
      </c>
      <c r="D59" s="6">
        <f t="shared" si="0"/>
        <v>236432210.06999999</v>
      </c>
      <c r="E59" s="6">
        <f t="shared" si="1"/>
        <v>236.43221007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x14ac:dyDescent="0.25">
      <c r="A60" s="6">
        <v>15652</v>
      </c>
      <c r="B60" s="6">
        <v>3370.752</v>
      </c>
      <c r="C60" s="6">
        <v>4.7</v>
      </c>
      <c r="D60" s="6">
        <f t="shared" si="0"/>
        <v>247967348.42879999</v>
      </c>
      <c r="E60" s="6">
        <f t="shared" si="1"/>
        <v>247.96734842879999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x14ac:dyDescent="0.25">
      <c r="A61" s="6">
        <v>3552</v>
      </c>
      <c r="B61" s="6">
        <v>10322.662</v>
      </c>
      <c r="C61" s="6">
        <v>6.9</v>
      </c>
      <c r="D61" s="6">
        <f t="shared" si="0"/>
        <v>252996058.42560002</v>
      </c>
      <c r="E61" s="6">
        <f t="shared" si="1"/>
        <v>252.99605842560001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x14ac:dyDescent="0.25">
      <c r="A62" s="6">
        <v>11754</v>
      </c>
      <c r="B62" s="6">
        <v>4017.6640000000002</v>
      </c>
      <c r="C62" s="6">
        <v>5.4</v>
      </c>
      <c r="D62" s="6">
        <f t="shared" si="0"/>
        <v>255007562.34240004</v>
      </c>
      <c r="E62" s="6">
        <f t="shared" si="1"/>
        <v>255.00756234240004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x14ac:dyDescent="0.25">
      <c r="A63" s="6">
        <v>4722</v>
      </c>
      <c r="B63" s="6">
        <v>10418.4699</v>
      </c>
      <c r="C63" s="6">
        <v>5.2</v>
      </c>
      <c r="D63" s="6">
        <f t="shared" si="0"/>
        <v>255819277.31255999</v>
      </c>
      <c r="E63" s="6">
        <f t="shared" si="1"/>
        <v>255.81927731255999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x14ac:dyDescent="0.25">
      <c r="A64" s="6">
        <v>6264</v>
      </c>
      <c r="B64" s="6">
        <v>9150.6659</v>
      </c>
      <c r="C64" s="6">
        <v>4.7</v>
      </c>
      <c r="D64" s="6">
        <f t="shared" si="0"/>
        <v>269402924.62871999</v>
      </c>
      <c r="E64" s="6">
        <f t="shared" si="1"/>
        <v>269.40292462871997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x14ac:dyDescent="0.25">
      <c r="A65" s="6">
        <v>7982</v>
      </c>
      <c r="B65" s="6">
        <v>6545.7278999999999</v>
      </c>
      <c r="C65" s="6">
        <v>5.3</v>
      </c>
      <c r="D65" s="6">
        <f t="shared" si="0"/>
        <v>276914400.51833999</v>
      </c>
      <c r="E65" s="6">
        <f t="shared" si="1"/>
        <v>276.91440051834002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x14ac:dyDescent="0.25">
      <c r="A66" s="6">
        <v>9410</v>
      </c>
      <c r="B66" s="6">
        <v>5083.7920000000004</v>
      </c>
      <c r="C66" s="6">
        <v>5.8</v>
      </c>
      <c r="D66" s="6">
        <f t="shared" si="0"/>
        <v>277463199.77600002</v>
      </c>
      <c r="E66" s="6">
        <f t="shared" si="1"/>
        <v>277.46319977600001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x14ac:dyDescent="0.25">
      <c r="A67" s="6">
        <v>25814</v>
      </c>
      <c r="B67" s="6">
        <v>3312</v>
      </c>
      <c r="C67" s="6">
        <v>3.3</v>
      </c>
      <c r="D67" s="6">
        <f t="shared" si="0"/>
        <v>282136694.39999998</v>
      </c>
      <c r="E67" s="6">
        <f t="shared" si="1"/>
        <v>282.13669439999995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x14ac:dyDescent="0.25">
      <c r="A68" s="6">
        <v>4714</v>
      </c>
      <c r="B68" s="6">
        <v>12121.885899999999</v>
      </c>
      <c r="C68" s="6">
        <v>5</v>
      </c>
      <c r="D68" s="6">
        <f t="shared" si="0"/>
        <v>285712850.66299999</v>
      </c>
      <c r="E68" s="6">
        <f t="shared" si="1"/>
        <v>285.71285066299998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x14ac:dyDescent="0.25">
      <c r="A69" s="6">
        <v>12962</v>
      </c>
      <c r="B69" s="6">
        <v>5593</v>
      </c>
      <c r="C69" s="6">
        <v>4</v>
      </c>
      <c r="D69" s="6">
        <f t="shared" si="0"/>
        <v>289985864</v>
      </c>
      <c r="E69" s="6">
        <f t="shared" si="1"/>
        <v>289.98586399999999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x14ac:dyDescent="0.25">
      <c r="A70" s="6">
        <v>4832</v>
      </c>
      <c r="B70" s="6">
        <v>6687.9901</v>
      </c>
      <c r="C70" s="6">
        <v>9</v>
      </c>
      <c r="D70" s="6">
        <f t="shared" si="0"/>
        <v>290847313.46880001</v>
      </c>
      <c r="E70" s="6">
        <f t="shared" si="1"/>
        <v>290.8473134688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x14ac:dyDescent="0.25">
      <c r="A71" s="6">
        <v>5534</v>
      </c>
      <c r="B71" s="6">
        <v>10557.273999999999</v>
      </c>
      <c r="C71" s="6">
        <v>5</v>
      </c>
      <c r="D71" s="6">
        <f t="shared" si="0"/>
        <v>292119771.57999998</v>
      </c>
      <c r="E71" s="6">
        <f t="shared" si="1"/>
        <v>292.11977157999996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x14ac:dyDescent="0.25">
      <c r="A72" s="6">
        <v>4514</v>
      </c>
      <c r="B72" s="6">
        <v>9492.7420000000002</v>
      </c>
      <c r="C72" s="6">
        <v>6.9</v>
      </c>
      <c r="D72" s="6">
        <f t="shared" si="0"/>
        <v>295666637.97720003</v>
      </c>
      <c r="E72" s="6">
        <f t="shared" si="1"/>
        <v>295.66663797720003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x14ac:dyDescent="0.25">
      <c r="A73" s="6">
        <v>3924</v>
      </c>
      <c r="B73" s="6">
        <v>10186.204</v>
      </c>
      <c r="C73" s="6">
        <v>7.5</v>
      </c>
      <c r="D73" s="6">
        <f t="shared" si="0"/>
        <v>299779983.71999997</v>
      </c>
      <c r="E73" s="6">
        <f t="shared" si="1"/>
        <v>299.77998371999996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 x14ac:dyDescent="0.25">
      <c r="A74" s="6">
        <v>12820</v>
      </c>
      <c r="B74" s="6">
        <v>5576.69</v>
      </c>
      <c r="C74" s="6">
        <v>4.2</v>
      </c>
      <c r="D74" s="6">
        <f t="shared" si="0"/>
        <v>300271296.36000001</v>
      </c>
      <c r="E74" s="6">
        <f t="shared" si="1"/>
        <v>300.27129636000001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x14ac:dyDescent="0.25">
      <c r="A75" s="6">
        <v>8326</v>
      </c>
      <c r="B75" s="6">
        <v>7568</v>
      </c>
      <c r="C75" s="6">
        <v>4.8</v>
      </c>
      <c r="D75" s="6">
        <f t="shared" si="0"/>
        <v>302453606.39999998</v>
      </c>
      <c r="E75" s="6">
        <f t="shared" si="1"/>
        <v>302.45360639999996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x14ac:dyDescent="0.25">
      <c r="A76" s="6">
        <v>5140</v>
      </c>
      <c r="B76" s="6">
        <v>10242</v>
      </c>
      <c r="C76" s="6">
        <v>5.8</v>
      </c>
      <c r="D76" s="6">
        <f t="shared" si="0"/>
        <v>305334504</v>
      </c>
      <c r="E76" s="6">
        <f t="shared" si="1"/>
        <v>305.33450399999998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x14ac:dyDescent="0.25">
      <c r="A77" s="6">
        <f>6022+2310</f>
        <v>8332</v>
      </c>
      <c r="B77" s="6">
        <v>7363</v>
      </c>
      <c r="C77" s="6">
        <v>5</v>
      </c>
      <c r="D77" s="6">
        <f t="shared" si="0"/>
        <v>306742580</v>
      </c>
      <c r="E77" s="6">
        <f t="shared" si="1"/>
        <v>306.74257999999998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 x14ac:dyDescent="0.25">
      <c r="A78" s="6">
        <v>14886</v>
      </c>
      <c r="B78" s="6">
        <v>4952</v>
      </c>
      <c r="C78" s="6">
        <v>4.2</v>
      </c>
      <c r="D78" s="6">
        <f t="shared" si="0"/>
        <v>309604982.40000004</v>
      </c>
      <c r="E78" s="6">
        <f t="shared" si="1"/>
        <v>309.60498240000004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x14ac:dyDescent="0.25">
      <c r="A79" s="6">
        <v>8590</v>
      </c>
      <c r="B79" s="6">
        <v>7947.8140000000003</v>
      </c>
      <c r="C79" s="6">
        <v>4.5999999999999996</v>
      </c>
      <c r="D79" s="6">
        <f t="shared" si="0"/>
        <v>314049922.39600003</v>
      </c>
      <c r="E79" s="6">
        <f t="shared" si="1"/>
        <v>314.049922396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x14ac:dyDescent="0.25">
      <c r="A80" s="6">
        <v>8222</v>
      </c>
      <c r="B80" s="6">
        <v>6623.6660000000002</v>
      </c>
      <c r="C80" s="6">
        <v>5.8</v>
      </c>
      <c r="D80" s="6">
        <f t="shared" si="0"/>
        <v>315866734.74159998</v>
      </c>
      <c r="E80" s="6">
        <f t="shared" si="1"/>
        <v>315.8667347416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x14ac:dyDescent="0.25">
      <c r="A81" s="6">
        <v>3184</v>
      </c>
      <c r="B81" s="6">
        <v>12529</v>
      </c>
      <c r="C81" s="6">
        <v>8</v>
      </c>
      <c r="D81" s="6">
        <f t="shared" si="0"/>
        <v>319138688</v>
      </c>
      <c r="E81" s="6">
        <f t="shared" si="1"/>
        <v>319.138688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 x14ac:dyDescent="0.25">
      <c r="A82" s="6">
        <v>21492</v>
      </c>
      <c r="B82" s="6">
        <v>3801</v>
      </c>
      <c r="C82" s="6">
        <v>3.9380000000000002</v>
      </c>
      <c r="D82" s="6">
        <f t="shared" si="0"/>
        <v>321699520.296</v>
      </c>
      <c r="E82" s="6">
        <f t="shared" si="1"/>
        <v>321.699520296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x14ac:dyDescent="0.25">
      <c r="A83" s="6">
        <v>15846</v>
      </c>
      <c r="B83" s="6">
        <v>5177</v>
      </c>
      <c r="C83" s="6">
        <v>3.9449999999999998</v>
      </c>
      <c r="D83" s="6">
        <f t="shared" si="0"/>
        <v>323627057.19</v>
      </c>
      <c r="E83" s="6">
        <f t="shared" si="1"/>
        <v>323.62705719000002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 x14ac:dyDescent="0.25">
      <c r="A84" s="6">
        <v>3916</v>
      </c>
      <c r="B84" s="6">
        <v>16243.023800000001</v>
      </c>
      <c r="C84" s="6">
        <v>5.0999999999999996</v>
      </c>
      <c r="D84" s="6">
        <f t="shared" si="0"/>
        <v>324399174.12408</v>
      </c>
      <c r="E84" s="6">
        <f t="shared" si="1"/>
        <v>324.39917412407999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x14ac:dyDescent="0.25">
      <c r="A85" s="6">
        <v>3154</v>
      </c>
      <c r="B85" s="6">
        <v>22404.913799999998</v>
      </c>
      <c r="C85" s="6">
        <v>4.7</v>
      </c>
      <c r="D85" s="6">
        <f t="shared" si="0"/>
        <v>332125961.18843997</v>
      </c>
      <c r="E85" s="6">
        <f t="shared" si="1"/>
        <v>332.12596118843999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 x14ac:dyDescent="0.25">
      <c r="A86" s="6">
        <v>1438</v>
      </c>
      <c r="B86" s="6">
        <v>29583.722099999999</v>
      </c>
      <c r="C86" s="6">
        <v>8</v>
      </c>
      <c r="D86" s="6">
        <f t="shared" si="0"/>
        <v>340331139.03839999</v>
      </c>
      <c r="E86" s="6">
        <f t="shared" si="1"/>
        <v>340.33113903840001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ht="15.75" customHeight="1" x14ac:dyDescent="0.3">
      <c r="A87" s="6">
        <v>1766</v>
      </c>
      <c r="B87" s="7">
        <v>20098.4283</v>
      </c>
      <c r="C87" s="6">
        <v>10</v>
      </c>
      <c r="D87" s="6">
        <f t="shared" si="0"/>
        <v>354938243.778</v>
      </c>
      <c r="E87" s="6">
        <f t="shared" si="1"/>
        <v>354.93824377800001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 x14ac:dyDescent="0.25">
      <c r="A88" s="6">
        <v>1460</v>
      </c>
      <c r="B88" s="6">
        <v>28750.078099999999</v>
      </c>
      <c r="C88" s="6">
        <v>8.8000000000000007</v>
      </c>
      <c r="D88" s="6">
        <f t="shared" si="0"/>
        <v>369381003.42880005</v>
      </c>
      <c r="E88" s="6">
        <f t="shared" si="1"/>
        <v>369.38100342880006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x14ac:dyDescent="0.25">
      <c r="A89" s="6">
        <v>3144</v>
      </c>
      <c r="B89" s="6">
        <v>22666.126</v>
      </c>
      <c r="C89" s="6">
        <v>5.2</v>
      </c>
      <c r="D89" s="6">
        <f t="shared" si="0"/>
        <v>370563960.74879998</v>
      </c>
      <c r="E89" s="6">
        <f t="shared" si="1"/>
        <v>370.56396074879996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17" x14ac:dyDescent="0.25">
      <c r="A90" s="6">
        <v>3146</v>
      </c>
      <c r="B90" s="6">
        <v>20206.6898</v>
      </c>
      <c r="C90" s="6">
        <v>5.9</v>
      </c>
      <c r="D90" s="6">
        <f t="shared" si="0"/>
        <v>375064452.05372</v>
      </c>
      <c r="E90" s="6">
        <f t="shared" si="1"/>
        <v>375.06445205372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 x14ac:dyDescent="0.25">
      <c r="A91" s="6">
        <v>5682</v>
      </c>
      <c r="B91" s="6">
        <v>8848.2240000000002</v>
      </c>
      <c r="C91" s="6">
        <v>7.6</v>
      </c>
      <c r="D91" s="6">
        <f t="shared" si="0"/>
        <v>382094626.63679999</v>
      </c>
      <c r="E91" s="6">
        <f t="shared" si="1"/>
        <v>382.0946266368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 x14ac:dyDescent="0.25">
      <c r="A92" s="6">
        <v>3924</v>
      </c>
      <c r="B92" s="6">
        <v>9962.7641000000003</v>
      </c>
      <c r="C92" s="6">
        <v>10</v>
      </c>
      <c r="D92" s="6">
        <f t="shared" si="0"/>
        <v>390938863.28400004</v>
      </c>
      <c r="E92" s="6">
        <f t="shared" si="1"/>
        <v>390.93886328400004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 x14ac:dyDescent="0.25">
      <c r="A93" s="6">
        <v>5682</v>
      </c>
      <c r="B93" s="6">
        <v>7759.2200999999995</v>
      </c>
      <c r="C93" s="6">
        <v>9</v>
      </c>
      <c r="D93" s="6">
        <f t="shared" si="0"/>
        <v>396790997.4738</v>
      </c>
      <c r="E93" s="6">
        <f t="shared" si="1"/>
        <v>396.79099747380002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17" x14ac:dyDescent="0.25">
      <c r="A94" s="6">
        <v>4486</v>
      </c>
      <c r="B94" s="6">
        <v>19800.508099999999</v>
      </c>
      <c r="C94" s="6">
        <v>4.5</v>
      </c>
      <c r="D94" s="6">
        <f t="shared" si="0"/>
        <v>399712857.01469994</v>
      </c>
      <c r="E94" s="6">
        <f t="shared" si="1"/>
        <v>399.71285701469992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 x14ac:dyDescent="0.25">
      <c r="A95" s="6">
        <v>11168</v>
      </c>
      <c r="B95" s="6">
        <v>7991</v>
      </c>
      <c r="C95" s="6">
        <v>4.5</v>
      </c>
      <c r="D95" s="6">
        <f t="shared" si="0"/>
        <v>401595696</v>
      </c>
      <c r="E95" s="6">
        <f t="shared" si="1"/>
        <v>401.59569599999998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1:17" x14ac:dyDescent="0.25">
      <c r="A96" s="6">
        <v>8998</v>
      </c>
      <c r="B96" s="6">
        <v>11472.313899999999</v>
      </c>
      <c r="C96" s="6">
        <v>4</v>
      </c>
      <c r="D96" s="6">
        <f t="shared" si="0"/>
        <v>412911521.88879997</v>
      </c>
      <c r="E96" s="6">
        <f t="shared" si="1"/>
        <v>412.91152188879994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 x14ac:dyDescent="0.25">
      <c r="A97" s="6">
        <v>5518</v>
      </c>
      <c r="B97" s="6">
        <v>15065.974099999999</v>
      </c>
      <c r="C97" s="6">
        <v>5</v>
      </c>
      <c r="D97" s="6">
        <f t="shared" si="0"/>
        <v>415670225.41900003</v>
      </c>
      <c r="E97" s="6">
        <f t="shared" si="1"/>
        <v>415.67022541900002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 x14ac:dyDescent="0.25">
      <c r="A98" s="6">
        <v>4766</v>
      </c>
      <c r="B98" s="6">
        <v>9158</v>
      </c>
      <c r="C98" s="6">
        <v>10</v>
      </c>
      <c r="D98" s="6">
        <f t="shared" si="0"/>
        <v>436470280</v>
      </c>
      <c r="E98" s="6">
        <f t="shared" si="1"/>
        <v>436.47028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x14ac:dyDescent="0.25">
      <c r="A99" s="6">
        <v>9278</v>
      </c>
      <c r="B99" s="6">
        <v>7776</v>
      </c>
      <c r="C99" s="6">
        <v>6.1</v>
      </c>
      <c r="D99" s="6">
        <f t="shared" si="0"/>
        <v>440088940.79999995</v>
      </c>
      <c r="E99" s="6">
        <f t="shared" si="1"/>
        <v>440.08894079999993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 x14ac:dyDescent="0.25">
      <c r="A100" s="6">
        <v>16027</v>
      </c>
      <c r="B100" s="6">
        <v>5594.2460000000001</v>
      </c>
      <c r="C100" s="6">
        <v>5</v>
      </c>
      <c r="D100" s="6">
        <f t="shared" si="0"/>
        <v>448294903.21000004</v>
      </c>
      <c r="E100" s="6">
        <f t="shared" si="1"/>
        <v>448.29490321000003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 x14ac:dyDescent="0.25">
      <c r="A101" s="6">
        <v>5870</v>
      </c>
      <c r="B101" s="6">
        <v>8716</v>
      </c>
      <c r="C101" s="6">
        <v>8.8000000000000007</v>
      </c>
      <c r="D101" s="6">
        <f t="shared" si="0"/>
        <v>450233696.00000006</v>
      </c>
      <c r="E101" s="6">
        <f t="shared" si="1"/>
        <v>450.23369600000007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1:17" x14ac:dyDescent="0.25">
      <c r="A102" s="6">
        <v>16446</v>
      </c>
      <c r="B102" s="6">
        <v>2738</v>
      </c>
      <c r="C102" s="6">
        <v>10</v>
      </c>
      <c r="D102" s="6">
        <f t="shared" si="0"/>
        <v>450291480</v>
      </c>
      <c r="E102" s="6">
        <f t="shared" si="1"/>
        <v>450.29147999999998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1:17" x14ac:dyDescent="0.25">
      <c r="A103" s="6">
        <f>7650+2898</f>
        <v>10548</v>
      </c>
      <c r="B103" s="6">
        <v>8594</v>
      </c>
      <c r="C103" s="6">
        <v>5</v>
      </c>
      <c r="D103" s="6">
        <f t="shared" si="0"/>
        <v>453247560</v>
      </c>
      <c r="E103" s="6">
        <f t="shared" si="1"/>
        <v>453.24756000000002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1:17" x14ac:dyDescent="0.25">
      <c r="A104" s="6">
        <v>4908</v>
      </c>
      <c r="B104" s="6">
        <v>14815</v>
      </c>
      <c r="C104" s="6">
        <v>6.25</v>
      </c>
      <c r="D104" s="6">
        <f t="shared" si="0"/>
        <v>454450125</v>
      </c>
      <c r="E104" s="6">
        <f t="shared" si="1"/>
        <v>454.45012500000001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1:17" x14ac:dyDescent="0.25">
      <c r="A105" s="6">
        <v>4486</v>
      </c>
      <c r="B105" s="6">
        <v>18581.696100000001</v>
      </c>
      <c r="C105" s="6">
        <v>5.5</v>
      </c>
      <c r="D105" s="6">
        <f t="shared" si="0"/>
        <v>458466187.87530005</v>
      </c>
      <c r="E105" s="6">
        <f t="shared" si="1"/>
        <v>458.46618787530002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 x14ac:dyDescent="0.25">
      <c r="A106" s="6">
        <v>22644</v>
      </c>
      <c r="B106" s="6">
        <v>3283</v>
      </c>
      <c r="C106" s="6">
        <v>6.23</v>
      </c>
      <c r="D106" s="6">
        <f t="shared" si="0"/>
        <v>463139769.96000004</v>
      </c>
      <c r="E106" s="6">
        <f t="shared" si="1"/>
        <v>463.13976996000002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 x14ac:dyDescent="0.25">
      <c r="A107" s="6">
        <f>1564+4116</f>
        <v>5680</v>
      </c>
      <c r="B107" s="6">
        <v>10395</v>
      </c>
      <c r="C107" s="6">
        <v>8</v>
      </c>
      <c r="D107" s="6">
        <f t="shared" si="0"/>
        <v>472348800</v>
      </c>
      <c r="E107" s="6">
        <f t="shared" si="1"/>
        <v>472.34879999999998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1:17" x14ac:dyDescent="0.25">
      <c r="A108" s="6">
        <v>10196</v>
      </c>
      <c r="B108" s="6">
        <v>4800</v>
      </c>
      <c r="C108" s="6">
        <v>10</v>
      </c>
      <c r="D108" s="6">
        <f t="shared" si="0"/>
        <v>489408000</v>
      </c>
      <c r="E108" s="6">
        <f t="shared" si="1"/>
        <v>489.40800000000002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1:17" x14ac:dyDescent="0.25">
      <c r="A109" s="6">
        <v>6302</v>
      </c>
      <c r="B109" s="6">
        <v>9309</v>
      </c>
      <c r="C109" s="6">
        <v>8.5</v>
      </c>
      <c r="D109" s="6">
        <f t="shared" si="0"/>
        <v>498655203</v>
      </c>
      <c r="E109" s="6">
        <f t="shared" si="1"/>
        <v>498.65520299999997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1:17" x14ac:dyDescent="0.25">
      <c r="A110" s="6">
        <v>6266</v>
      </c>
      <c r="B110" s="6">
        <v>9795</v>
      </c>
      <c r="C110" s="6">
        <v>8.3000000000000007</v>
      </c>
      <c r="D110" s="6">
        <f t="shared" si="0"/>
        <v>509416401.00000006</v>
      </c>
      <c r="E110" s="6">
        <f t="shared" si="1"/>
        <v>509.41640100000006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1:17" x14ac:dyDescent="0.25">
      <c r="A111" s="6">
        <v>4908</v>
      </c>
      <c r="B111" s="6">
        <v>17365.011900000001</v>
      </c>
      <c r="C111" s="6">
        <v>6.48</v>
      </c>
      <c r="D111" s="6">
        <f t="shared" si="0"/>
        <v>552274060.06569612</v>
      </c>
      <c r="E111" s="6">
        <f t="shared" si="1"/>
        <v>552.27406006569618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1:17" x14ac:dyDescent="0.25">
      <c r="A112" s="6">
        <v>4908</v>
      </c>
      <c r="B112" s="6">
        <v>17356.233899999999</v>
      </c>
      <c r="C112" s="6">
        <v>6.5</v>
      </c>
      <c r="D112" s="6">
        <f t="shared" si="0"/>
        <v>553698573.87779999</v>
      </c>
      <c r="E112" s="6">
        <f t="shared" si="1"/>
        <v>553.69857387779996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1:17" x14ac:dyDescent="0.25">
      <c r="A113" s="6">
        <v>4908</v>
      </c>
      <c r="B113" s="6">
        <v>17469</v>
      </c>
      <c r="C113" s="6">
        <v>6.5</v>
      </c>
      <c r="D113" s="6">
        <f t="shared" si="0"/>
        <v>557296038</v>
      </c>
      <c r="E113" s="6">
        <f t="shared" si="1"/>
        <v>557.29603799999995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1:17" x14ac:dyDescent="0.25">
      <c r="A114" s="6">
        <v>5520</v>
      </c>
      <c r="B114" s="6">
        <v>14740.124100000001</v>
      </c>
      <c r="C114" s="6">
        <v>6.92</v>
      </c>
      <c r="D114" s="6">
        <f t="shared" si="0"/>
        <v>563049156.42144001</v>
      </c>
      <c r="E114" s="6">
        <f t="shared" si="1"/>
        <v>563.04915642143999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1:17" x14ac:dyDescent="0.25">
      <c r="A115" s="6">
        <v>4908</v>
      </c>
      <c r="B115" s="6">
        <v>19616</v>
      </c>
      <c r="C115" s="6">
        <v>5.9509999999999996</v>
      </c>
      <c r="D115" s="6">
        <f t="shared" si="0"/>
        <v>572934476.92799997</v>
      </c>
      <c r="E115" s="6">
        <f t="shared" si="1"/>
        <v>572.93447692799998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7" x14ac:dyDescent="0.25">
      <c r="A116" s="6">
        <v>13292</v>
      </c>
      <c r="B116" s="6">
        <v>4376.7640000000001</v>
      </c>
      <c r="C116" s="6">
        <v>10</v>
      </c>
      <c r="D116" s="6">
        <f t="shared" si="0"/>
        <v>581759470.88</v>
      </c>
      <c r="E116" s="6">
        <f t="shared" si="1"/>
        <v>581.75947087999998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 x14ac:dyDescent="0.25">
      <c r="A117" s="6">
        <v>4508</v>
      </c>
      <c r="B117" s="6">
        <v>26044.0602</v>
      </c>
      <c r="C117" s="6">
        <v>5</v>
      </c>
      <c r="D117" s="6">
        <f t="shared" si="0"/>
        <v>587033116.90799999</v>
      </c>
      <c r="E117" s="6">
        <f t="shared" si="1"/>
        <v>587.03311690800001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 x14ac:dyDescent="0.25">
      <c r="A118" s="6">
        <v>2062</v>
      </c>
      <c r="B118" s="6">
        <v>39251.492299999998</v>
      </c>
      <c r="C118" s="6">
        <v>7.3</v>
      </c>
      <c r="D118" s="6">
        <f t="shared" si="0"/>
        <v>590837012.99497986</v>
      </c>
      <c r="E118" s="6">
        <f t="shared" si="1"/>
        <v>590.83701299497989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 x14ac:dyDescent="0.25">
      <c r="A119" s="6">
        <v>5080</v>
      </c>
      <c r="B119" s="6">
        <v>16640.162</v>
      </c>
      <c r="C119" s="6">
        <v>7</v>
      </c>
      <c r="D119" s="6">
        <f t="shared" si="0"/>
        <v>591724160.72000003</v>
      </c>
      <c r="E119" s="6">
        <f t="shared" si="1"/>
        <v>591.72416071999999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 x14ac:dyDescent="0.25">
      <c r="A120" s="6">
        <v>13690</v>
      </c>
      <c r="B120" s="6">
        <v>8895.3060000000005</v>
      </c>
      <c r="C120" s="6">
        <v>5</v>
      </c>
      <c r="D120" s="6">
        <f t="shared" si="0"/>
        <v>608883695.70000005</v>
      </c>
      <c r="E120" s="6">
        <f t="shared" si="1"/>
        <v>608.88369570000009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 x14ac:dyDescent="0.25">
      <c r="A121" s="6">
        <v>6296</v>
      </c>
      <c r="B121" s="6">
        <v>26855.0939</v>
      </c>
      <c r="C121" s="6">
        <v>4</v>
      </c>
      <c r="D121" s="6">
        <f t="shared" si="0"/>
        <v>676318684.77760005</v>
      </c>
      <c r="E121" s="6">
        <f t="shared" si="1"/>
        <v>676.31868477760008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1:17" x14ac:dyDescent="0.25">
      <c r="A122" s="6">
        <v>8030</v>
      </c>
      <c r="B122" s="6">
        <v>17661</v>
      </c>
      <c r="C122" s="6">
        <v>5</v>
      </c>
      <c r="D122" s="6">
        <f t="shared" si="0"/>
        <v>709089150</v>
      </c>
      <c r="E122" s="6">
        <f t="shared" si="1"/>
        <v>709.08915000000002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 x14ac:dyDescent="0.25">
      <c r="A123" s="6">
        <v>4538</v>
      </c>
      <c r="B123" s="6">
        <v>26117.476200000001</v>
      </c>
      <c r="C123" s="6">
        <v>6</v>
      </c>
      <c r="D123" s="6">
        <f t="shared" si="0"/>
        <v>711126641.97360003</v>
      </c>
      <c r="E123" s="6">
        <f t="shared" si="1"/>
        <v>711.12664197360004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17" x14ac:dyDescent="0.25">
      <c r="A124" s="6">
        <v>4484</v>
      </c>
      <c r="B124" s="6">
        <v>26114.816200000001</v>
      </c>
      <c r="C124" s="6">
        <v>6.2</v>
      </c>
      <c r="D124" s="6">
        <f t="shared" si="0"/>
        <v>726012782.21296</v>
      </c>
      <c r="E124" s="6">
        <f t="shared" si="1"/>
        <v>726.01278221296002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17" x14ac:dyDescent="0.25">
      <c r="A125" s="6">
        <v>4544</v>
      </c>
      <c r="B125" s="6">
        <v>25615.800200000001</v>
      </c>
      <c r="C125" s="6">
        <v>6.5</v>
      </c>
      <c r="D125" s="6">
        <f t="shared" si="0"/>
        <v>756588274.70720005</v>
      </c>
      <c r="E125" s="6">
        <f t="shared" si="1"/>
        <v>756.58827470720007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17" x14ac:dyDescent="0.25">
      <c r="A126" s="6">
        <v>6294</v>
      </c>
      <c r="B126" s="6">
        <v>18910.205900000001</v>
      </c>
      <c r="C126" s="6">
        <v>6.4</v>
      </c>
      <c r="D126" s="6">
        <f t="shared" si="0"/>
        <v>761733349.98144007</v>
      </c>
      <c r="E126" s="6">
        <f t="shared" si="1"/>
        <v>761.73334998144003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1:17" x14ac:dyDescent="0.25">
      <c r="A127" s="6">
        <v>7022</v>
      </c>
      <c r="B127" s="6">
        <v>23043.579900000001</v>
      </c>
      <c r="C127" s="6">
        <v>4.8</v>
      </c>
      <c r="D127" s="6">
        <f t="shared" si="0"/>
        <v>776697686.67743993</v>
      </c>
      <c r="E127" s="6">
        <f t="shared" si="1"/>
        <v>776.69768667743995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1:17" x14ac:dyDescent="0.25">
      <c r="A128" s="6">
        <v>9372</v>
      </c>
      <c r="B128" s="6">
        <v>13901</v>
      </c>
      <c r="C128" s="6">
        <v>6.5</v>
      </c>
      <c r="D128" s="6">
        <f t="shared" si="0"/>
        <v>846821118</v>
      </c>
      <c r="E128" s="6">
        <f t="shared" si="1"/>
        <v>846.82111799999996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1:17" x14ac:dyDescent="0.25">
      <c r="A129" s="6">
        <v>9414</v>
      </c>
      <c r="B129" s="6">
        <v>9347</v>
      </c>
      <c r="C129" s="6">
        <v>10</v>
      </c>
      <c r="D129" s="6">
        <f t="shared" si="0"/>
        <v>879926580</v>
      </c>
      <c r="E129" s="6">
        <f t="shared" si="1"/>
        <v>879.92657999999994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1:17" x14ac:dyDescent="0.25">
      <c r="A130" s="6">
        <v>8590</v>
      </c>
      <c r="B130" s="6">
        <v>23404.807799999999</v>
      </c>
      <c r="C130" s="6">
        <v>4.5</v>
      </c>
      <c r="D130" s="6">
        <f t="shared" si="0"/>
        <v>904712845.50899982</v>
      </c>
      <c r="E130" s="6">
        <f t="shared" si="1"/>
        <v>904.71284550899986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1:17" x14ac:dyDescent="0.25">
      <c r="A131" s="6">
        <v>8614</v>
      </c>
      <c r="B131" s="6">
        <v>28658.573899999999</v>
      </c>
      <c r="C131" s="6">
        <v>3.8</v>
      </c>
      <c r="D131" s="6">
        <f t="shared" si="0"/>
        <v>938086831.18347991</v>
      </c>
      <c r="E131" s="6">
        <f t="shared" si="1"/>
        <v>938.08683118347994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1:17" x14ac:dyDescent="0.25">
      <c r="A132" s="6">
        <v>8614</v>
      </c>
      <c r="B132" s="6">
        <v>27343.7359</v>
      </c>
      <c r="C132" s="6">
        <v>4</v>
      </c>
      <c r="D132" s="6">
        <f t="shared" si="0"/>
        <v>942155764.17040002</v>
      </c>
      <c r="E132" s="6">
        <f t="shared" si="1"/>
        <v>942.15576417040006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1:17" x14ac:dyDescent="0.25">
      <c r="A133" s="6">
        <v>26236</v>
      </c>
      <c r="B133" s="6">
        <v>8591.268</v>
      </c>
      <c r="C133" s="6">
        <v>4.2</v>
      </c>
      <c r="D133" s="6">
        <f t="shared" si="0"/>
        <v>946682130.44159997</v>
      </c>
      <c r="E133" s="6">
        <f t="shared" si="1"/>
        <v>946.68213044159995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1:17" x14ac:dyDescent="0.25">
      <c r="A134" s="6">
        <v>8590</v>
      </c>
      <c r="B134" s="6">
        <v>22141.573899999999</v>
      </c>
      <c r="C134" s="6">
        <v>5</v>
      </c>
      <c r="D134" s="6">
        <f t="shared" si="0"/>
        <v>950980599.005</v>
      </c>
      <c r="E134" s="6">
        <f t="shared" si="1"/>
        <v>950.98059900500004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 x14ac:dyDescent="0.25">
      <c r="A135" s="6">
        <v>21908</v>
      </c>
      <c r="B135" s="6">
        <v>11511</v>
      </c>
      <c r="C135" s="6">
        <v>3.9</v>
      </c>
      <c r="D135" s="6">
        <f t="shared" si="0"/>
        <v>983513653.19999993</v>
      </c>
      <c r="E135" s="6">
        <f t="shared" si="1"/>
        <v>983.51365319999991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1:17" x14ac:dyDescent="0.25">
      <c r="A136" s="6">
        <v>9362</v>
      </c>
      <c r="B136" s="6">
        <v>26062.9457</v>
      </c>
      <c r="C136" s="6">
        <v>4.25</v>
      </c>
      <c r="D136" s="6">
        <f t="shared" si="0"/>
        <v>1037005514.9844501</v>
      </c>
      <c r="E136" s="6">
        <f t="shared" si="1"/>
        <v>1037.0055149844502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1:17" x14ac:dyDescent="0.25">
      <c r="A137" s="6">
        <v>37496</v>
      </c>
      <c r="B137" s="6">
        <v>3019.8980000000001</v>
      </c>
      <c r="C137" s="6">
        <v>10</v>
      </c>
      <c r="D137" s="6">
        <f t="shared" si="0"/>
        <v>1132340954.0800002</v>
      </c>
      <c r="E137" s="6">
        <f t="shared" si="1"/>
        <v>1132.3409540800001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1:17" x14ac:dyDescent="0.25">
      <c r="A138" s="6">
        <v>22661</v>
      </c>
      <c r="B138" s="6">
        <v>5869</v>
      </c>
      <c r="C138" s="6">
        <v>9.1999999999999993</v>
      </c>
      <c r="D138" s="6">
        <f t="shared" si="0"/>
        <v>1223576162.8</v>
      </c>
      <c r="E138" s="6">
        <f t="shared" si="1"/>
        <v>1223.5761628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1:17" x14ac:dyDescent="0.25">
      <c r="A139" s="6">
        <v>5252</v>
      </c>
      <c r="B139" s="6">
        <v>42390</v>
      </c>
      <c r="C139" s="6">
        <v>5.67</v>
      </c>
      <c r="D139" s="6">
        <f t="shared" si="0"/>
        <v>1262325027.5999999</v>
      </c>
      <c r="E139" s="6">
        <f t="shared" si="1"/>
        <v>1262.3250275999999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1:17" x14ac:dyDescent="0.25">
      <c r="A140" s="6">
        <v>9840</v>
      </c>
      <c r="B140" s="6">
        <v>22814.288199999999</v>
      </c>
      <c r="C140" s="6">
        <v>7.8</v>
      </c>
      <c r="D140" s="6">
        <f t="shared" si="0"/>
        <v>1751042247.9263997</v>
      </c>
      <c r="E140" s="6">
        <f t="shared" si="1"/>
        <v>1751.0422479263998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1:17" x14ac:dyDescent="0.25">
      <c r="A141" s="6">
        <v>9840</v>
      </c>
      <c r="B141" s="6">
        <v>22304</v>
      </c>
      <c r="C141" s="6">
        <v>10</v>
      </c>
      <c r="D141" s="6">
        <f t="shared" si="0"/>
        <v>2194713600</v>
      </c>
      <c r="E141" s="6">
        <f t="shared" si="1"/>
        <v>2194.7136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1:17" x14ac:dyDescent="0.25">
      <c r="A142" s="6">
        <v>4186</v>
      </c>
      <c r="B142" s="6">
        <v>71065.624400000001</v>
      </c>
      <c r="C142" s="6">
        <v>8.5</v>
      </c>
      <c r="D142" s="6">
        <f t="shared" si="0"/>
        <v>2528585981.7763996</v>
      </c>
      <c r="E142" s="6">
        <f t="shared" si="1"/>
        <v>2528.5859817763994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1:17" x14ac:dyDescent="0.25">
      <c r="A143" s="6">
        <v>6118</v>
      </c>
      <c r="B143" s="6">
        <v>76926.137199999997</v>
      </c>
      <c r="C143" s="6">
        <v>5.5</v>
      </c>
      <c r="D143" s="6">
        <f t="shared" si="0"/>
        <v>2588487590.6427999</v>
      </c>
      <c r="E143" s="6">
        <f t="shared" si="1"/>
        <v>2588.4875906427997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1:17" x14ac:dyDescent="0.25">
      <c r="A144" s="6">
        <v>1042</v>
      </c>
      <c r="B144" s="6">
        <v>272529.88809999998</v>
      </c>
      <c r="C144" s="6">
        <v>10</v>
      </c>
      <c r="D144" s="6">
        <f t="shared" si="0"/>
        <v>2839761434.0019999</v>
      </c>
      <c r="E144" s="6">
        <f t="shared" si="1"/>
        <v>2839.761434002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1:17" x14ac:dyDescent="0.25">
      <c r="A145" s="6">
        <v>1042</v>
      </c>
      <c r="B145" s="6">
        <v>259910.73240000001</v>
      </c>
      <c r="C145" s="6">
        <v>11</v>
      </c>
      <c r="D145" s="6">
        <f t="shared" si="0"/>
        <v>2979096814.7687998</v>
      </c>
      <c r="E145" s="6">
        <f t="shared" si="1"/>
        <v>2979.0968147688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1:17" x14ac:dyDescent="0.25">
      <c r="A146" s="6">
        <v>1042</v>
      </c>
      <c r="B146" s="6">
        <v>256470</v>
      </c>
      <c r="C146" s="6">
        <v>12.1</v>
      </c>
      <c r="D146" s="6">
        <f t="shared" si="0"/>
        <v>3233625054</v>
      </c>
      <c r="E146" s="6">
        <f t="shared" si="1"/>
        <v>3233.6250540000001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1:17" x14ac:dyDescent="0.25">
      <c r="A147" s="6">
        <v>1042</v>
      </c>
      <c r="B147" s="6">
        <v>260566</v>
      </c>
      <c r="C147" s="6">
        <v>12</v>
      </c>
      <c r="D147" s="6">
        <f t="shared" si="0"/>
        <v>3258117264</v>
      </c>
      <c r="E147" s="6">
        <f t="shared" si="1"/>
        <v>3258.117264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1:17" x14ac:dyDescent="0.25">
      <c r="A148" s="6">
        <v>24207</v>
      </c>
      <c r="B148" s="6">
        <v>16790.7183</v>
      </c>
      <c r="C148" s="6">
        <v>10</v>
      </c>
      <c r="D148" s="6">
        <f t="shared" si="0"/>
        <v>4064529178.8810005</v>
      </c>
      <c r="E148" s="6">
        <f t="shared" si="1"/>
        <v>4064.5291788810005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 x14ac:dyDescent="0.25">
      <c r="A149" s="6">
        <v>90986</v>
      </c>
      <c r="B149" s="6">
        <v>11595.737999999999</v>
      </c>
      <c r="C149" s="6">
        <v>3.9</v>
      </c>
      <c r="D149" s="6">
        <f t="shared" si="0"/>
        <v>4114694288.9052</v>
      </c>
      <c r="E149" s="6">
        <f t="shared" si="1"/>
        <v>4114.6942889051998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1:17" x14ac:dyDescent="0.25">
      <c r="A150" s="6">
        <v>7070</v>
      </c>
      <c r="B150" s="6">
        <v>68915.813099999999</v>
      </c>
      <c r="C150" s="6">
        <v>10.95</v>
      </c>
      <c r="D150" s="6">
        <f t="shared" si="0"/>
        <v>5335221044.8561497</v>
      </c>
      <c r="E150" s="6">
        <f t="shared" si="1"/>
        <v>5335.22104485615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 x14ac:dyDescent="0.25">
      <c r="A151" s="6">
        <v>6658</v>
      </c>
      <c r="B151" s="6">
        <v>26822</v>
      </c>
      <c r="C151" s="6">
        <v>40</v>
      </c>
      <c r="D151" s="6">
        <f t="shared" si="0"/>
        <v>7143235040</v>
      </c>
      <c r="E151" s="6">
        <f t="shared" si="1"/>
        <v>7143.2350399999996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1:17" x14ac:dyDescent="0.25">
      <c r="A152" s="6">
        <v>75644</v>
      </c>
      <c r="B152" s="6">
        <v>24551.001899999999</v>
      </c>
      <c r="C152" s="6">
        <v>4</v>
      </c>
      <c r="D152" s="6">
        <f t="shared" si="0"/>
        <v>7428543950.8943996</v>
      </c>
      <c r="E152" s="6">
        <f t="shared" si="1"/>
        <v>7428.5439508944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 x14ac:dyDescent="0.25">
      <c r="A153" s="6">
        <v>109715</v>
      </c>
      <c r="B153" s="6">
        <v>6851.6279999999997</v>
      </c>
      <c r="C153" s="6">
        <v>10</v>
      </c>
      <c r="D153" s="6">
        <f t="shared" si="0"/>
        <v>7517263660.1999998</v>
      </c>
      <c r="E153" s="6">
        <f t="shared" si="1"/>
        <v>7517.2636602000002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 x14ac:dyDescent="0.25">
      <c r="A154" s="6">
        <v>75644</v>
      </c>
      <c r="B154" s="6">
        <v>23850.623899999999</v>
      </c>
      <c r="C154" s="6">
        <v>4.2</v>
      </c>
      <c r="D154" s="6">
        <f t="shared" si="0"/>
        <v>7577457696.0247202</v>
      </c>
      <c r="E154" s="6">
        <f t="shared" si="1"/>
        <v>7577.4576960247205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 x14ac:dyDescent="0.25">
      <c r="A155" s="6">
        <v>75644</v>
      </c>
      <c r="B155" s="6">
        <v>22047.675999999999</v>
      </c>
      <c r="C155" s="6">
        <v>4.7</v>
      </c>
      <c r="D155" s="6">
        <f t="shared" si="0"/>
        <v>7838539695.7167997</v>
      </c>
      <c r="E155" s="6">
        <f t="shared" si="1"/>
        <v>7838.5396957167995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 x14ac:dyDescent="0.25">
      <c r="A156" s="6">
        <v>75644</v>
      </c>
      <c r="B156" s="6">
        <v>22068.955999999998</v>
      </c>
      <c r="C156" s="6">
        <v>5</v>
      </c>
      <c r="D156" s="6">
        <f t="shared" si="0"/>
        <v>8346920538.3199987</v>
      </c>
      <c r="E156" s="6">
        <f t="shared" si="1"/>
        <v>8346.9205383199987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 x14ac:dyDescent="0.25">
      <c r="A157" s="6">
        <v>79624</v>
      </c>
      <c r="B157" s="6">
        <v>20106.142100000001</v>
      </c>
      <c r="C157" s="6">
        <v>7.1</v>
      </c>
      <c r="D157" s="6">
        <f t="shared" si="0"/>
        <v>11366613355.84984</v>
      </c>
      <c r="E157" s="6">
        <f t="shared" si="1"/>
        <v>11366.61335584984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1:17" x14ac:dyDescent="0.25">
      <c r="A158" s="6">
        <v>113206</v>
      </c>
      <c r="B158" s="6">
        <v>22076.669900000001</v>
      </c>
      <c r="C158" s="6">
        <v>7.92</v>
      </c>
      <c r="D158" s="6">
        <f t="shared" si="0"/>
        <v>19793755022.179249</v>
      </c>
      <c r="E158" s="6">
        <f t="shared" si="1"/>
        <v>19793.755022179248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1:17" x14ac:dyDescent="0.25">
      <c r="A159" s="6">
        <v>113202</v>
      </c>
      <c r="B159" s="6">
        <v>23259.039799999999</v>
      </c>
      <c r="C159" s="6">
        <v>7.65</v>
      </c>
      <c r="D159" s="6">
        <f t="shared" si="0"/>
        <v>20142219149.312943</v>
      </c>
      <c r="E159" s="6">
        <f t="shared" si="1"/>
        <v>20142.219149312943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1:17" x14ac:dyDescent="0.25">
      <c r="A160" s="6">
        <v>113592</v>
      </c>
      <c r="B160" s="6">
        <v>22967</v>
      </c>
      <c r="C160" s="6">
        <v>8.1999999999999993</v>
      </c>
      <c r="D160" s="6">
        <f t="shared" si="0"/>
        <v>21392713204.799999</v>
      </c>
      <c r="E160" s="6">
        <f t="shared" si="1"/>
        <v>21392.713204799998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 x14ac:dyDescent="0.25">
      <c r="A161" s="6">
        <v>113200</v>
      </c>
      <c r="B161" s="6">
        <v>21196.741999999998</v>
      </c>
      <c r="C161" s="6">
        <v>8.9499999999999993</v>
      </c>
      <c r="D161" s="6">
        <f t="shared" si="0"/>
        <v>21475267189.879993</v>
      </c>
      <c r="E161" s="6">
        <f t="shared" si="1"/>
        <v>21475.267189879993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1:17" x14ac:dyDescent="0.25">
      <c r="A162" s="6">
        <v>113590</v>
      </c>
      <c r="B162" s="6">
        <v>21265</v>
      </c>
      <c r="C162" s="6">
        <v>9</v>
      </c>
      <c r="D162" s="6">
        <f t="shared" si="0"/>
        <v>21739422150</v>
      </c>
      <c r="E162" s="6">
        <f t="shared" si="1"/>
        <v>21739.422149999999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1:17" x14ac:dyDescent="0.25">
      <c r="A163" s="6">
        <v>1204</v>
      </c>
      <c r="B163" s="6">
        <v>707765.63829999999</v>
      </c>
      <c r="C163" s="6">
        <v>30</v>
      </c>
      <c r="D163" s="6">
        <f t="shared" si="0"/>
        <v>25564494855.396</v>
      </c>
      <c r="E163" s="6">
        <f t="shared" si="1"/>
        <v>25564.494855395998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1:17" x14ac:dyDescent="0.25">
      <c r="A164" s="6">
        <v>124636</v>
      </c>
      <c r="B164" s="6">
        <v>22373.792099999999</v>
      </c>
      <c r="C164" s="6">
        <v>10</v>
      </c>
      <c r="D164" s="6">
        <f t="shared" si="0"/>
        <v>27885799521.756001</v>
      </c>
      <c r="E164" s="6">
        <f t="shared" si="1"/>
        <v>27885.799521756002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 x14ac:dyDescent="0.25">
      <c r="A165" s="6">
        <v>115930</v>
      </c>
      <c r="B165" s="6">
        <v>27793.275900000001</v>
      </c>
      <c r="C165" s="6">
        <v>10</v>
      </c>
      <c r="D165" s="6">
        <f t="shared" si="0"/>
        <v>32220744750.869999</v>
      </c>
      <c r="E165" s="6">
        <f t="shared" si="1"/>
        <v>32220.744750869999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 x14ac:dyDescent="0.25">
      <c r="A166" s="6">
        <v>3152</v>
      </c>
      <c r="B166" s="6">
        <v>775451.20067000005</v>
      </c>
      <c r="C166" s="6">
        <v>20</v>
      </c>
      <c r="D166" s="6">
        <f t="shared" si="0"/>
        <v>48884443690.236809</v>
      </c>
      <c r="E166" s="6">
        <f t="shared" si="1"/>
        <v>48884.443690236811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1:17" x14ac:dyDescent="0.25">
      <c r="A167" s="6">
        <v>3152</v>
      </c>
      <c r="B167" s="6">
        <v>792644.11010000005</v>
      </c>
      <c r="C167" s="6">
        <v>20</v>
      </c>
      <c r="D167" s="6">
        <f t="shared" si="0"/>
        <v>49968284700.704002</v>
      </c>
      <c r="E167" s="6">
        <f t="shared" si="1"/>
        <v>49968.284700704004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1:17" x14ac:dyDescent="0.25">
      <c r="A168" s="6">
        <v>3224</v>
      </c>
      <c r="B168" s="6">
        <v>866985.7905</v>
      </c>
      <c r="C168" s="6">
        <v>30</v>
      </c>
      <c r="D168" s="6">
        <f t="shared" si="0"/>
        <v>83854865657.160004</v>
      </c>
      <c r="E168" s="6">
        <f t="shared" si="1"/>
        <v>83854.86565716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1:17" x14ac:dyDescent="0.25">
      <c r="A169" s="6">
        <v>1269998</v>
      </c>
      <c r="B169" s="6">
        <v>22418.213899999999</v>
      </c>
      <c r="C169" s="6">
        <v>8.4</v>
      </c>
      <c r="D169" s="6">
        <f t="shared" si="0"/>
        <v>239157129259.20645</v>
      </c>
      <c r="E169" s="6">
        <f t="shared" si="1"/>
        <v>239157.12925920644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1:17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1:17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1:17" x14ac:dyDescent="0.25">
      <c r="A172" s="5" t="s">
        <v>5</v>
      </c>
      <c r="B172" s="4">
        <f>MEDIAN(E2:E169)</f>
        <v>336.22855011342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1:17" x14ac:dyDescent="0.25">
      <c r="A173" s="5" t="s">
        <v>6</v>
      </c>
      <c r="B173" s="4">
        <f>AVERAGE(E2:E169)</f>
        <v>4492.8813346404686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1:17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1:17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1:17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1:17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1:17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1:17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1:17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1:17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1:17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1:17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1:17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1:17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1:17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1:17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1:17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1:17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17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1:17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1:17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1:17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1:17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spans="1:17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spans="1:17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1:17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spans="1:17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spans="1:17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spans="1:17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spans="1:17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spans="1:17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spans="1:17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spans="1:17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1:17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1:17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1:17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1:17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1:17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1:17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spans="1:17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spans="1:17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spans="1:17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spans="1:17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spans="1:17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spans="1:17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spans="1:17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spans="1:17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spans="1:17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spans="1:17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spans="1:17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spans="1:17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spans="1:17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spans="1:17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spans="1:17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spans="1:17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spans="1:17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spans="1:17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spans="1:17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spans="1:17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spans="1:17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spans="1:17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spans="1:17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spans="1:17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spans="1:17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spans="1:17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spans="1:17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spans="1:17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spans="1:17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spans="1:17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spans="1:17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spans="1:17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spans="1:17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spans="1:17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spans="1:17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spans="1:17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spans="1:17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spans="1:17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spans="1:17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spans="1:17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spans="1:17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spans="1:17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spans="1:17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spans="1:17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spans="1:17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spans="1:17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spans="1:17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spans="1:17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spans="1:17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spans="1:17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spans="1:17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spans="1:17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spans="1:17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spans="1:17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spans="1:17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spans="1:17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spans="1:17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spans="1:17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spans="1:17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spans="1:17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spans="1:17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spans="1:17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spans="1:17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spans="1:17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spans="1:17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spans="1:17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spans="1:17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spans="1:17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spans="1:17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spans="1:17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spans="1:17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spans="1:17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spans="1:17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spans="1:17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spans="1:17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spans="1:17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spans="1:17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spans="1:17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spans="1:17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spans="1:17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spans="1:17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spans="1:17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spans="1:17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spans="1:17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spans="1:17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spans="1:17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spans="1:17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spans="1:17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spans="1:17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spans="1:17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spans="1:17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spans="1:17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spans="1:17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spans="1:17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spans="1:17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spans="1:17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spans="1:17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spans="1:17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spans="1:17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spans="1:17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spans="1:17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spans="1:17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spans="1:17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spans="1:17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spans="1:17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spans="1:17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spans="1:17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spans="1:17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spans="1:17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spans="1:17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spans="1:17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spans="1:17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spans="1:17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spans="1:17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spans="1:17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spans="1:17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spans="1:17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spans="1:17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spans="1:17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spans="1:17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spans="1:17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spans="1:17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spans="1:17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spans="1:17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spans="1:17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spans="1:17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spans="1:17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spans="1:17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spans="1:17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spans="1:17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spans="1:17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spans="1:17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spans="1:17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spans="1:17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spans="1:17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spans="1:17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spans="1:17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spans="1:17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spans="1:17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spans="1:17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spans="1:17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spans="1:17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spans="1:17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spans="1:17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spans="1:17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spans="1:17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spans="1:17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spans="1:17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spans="1:17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spans="1:17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spans="1:17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spans="1:17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spans="1:17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spans="1:17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spans="1:17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 spans="1:17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 spans="1:17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 spans="1:17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 spans="1:17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 spans="1:17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 spans="1:17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 spans="1:17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 spans="1:17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 spans="1:17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 spans="1:17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 spans="1:17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 spans="1:17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 spans="1:17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 spans="1:17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 spans="1:17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spans="1:17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 spans="1:17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spans="1:17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spans="1:17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 spans="1:17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 spans="1:17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 spans="1:17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 spans="1:17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 spans="1:17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 spans="1:17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 spans="1:17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 spans="1:17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spans="1:17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spans="1:17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 spans="1:17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 spans="1:17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 spans="1:17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spans="1:17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spans="1:17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 spans="1:17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spans="1:17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spans="1:17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spans="1:17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spans="1:17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spans="1:17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spans="1:17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spans="1:17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spans="1:17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spans="1:17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 spans="1:17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spans="1:17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 spans="1:17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 spans="1:17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spans="1:17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spans="1:17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spans="1:17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spans="1:17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spans="1:17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 spans="1:17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 spans="1:17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spans="1:17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spans="1:17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 spans="1:17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 spans="1:17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spans="1:17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 spans="1:17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 spans="1:17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 spans="1:17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 spans="1:17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spans="1:17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spans="1:17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spans="1:17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spans="1:17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spans="1:17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spans="1:17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spans="1:17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spans="1:17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spans="1:17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spans="1:17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spans="1:17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spans="1:17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spans="1:17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 spans="1:17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spans="1:17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spans="1:17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 spans="1:17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spans="1:17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spans="1:17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spans="1:17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spans="1:17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spans="1:17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spans="1:17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spans="1:17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spans="1:17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spans="1:17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 spans="1:17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 spans="1:17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 spans="1:17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 spans="1:17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 spans="1:17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 spans="1:17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 spans="1:17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spans="1:17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 spans="1:17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 spans="1:17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 spans="1:17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 spans="1:17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spans="1:17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 spans="1:17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 spans="1:17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 spans="1:17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spans="1:17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 spans="1:17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 spans="1:17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spans="1:17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 spans="1:17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 spans="1:17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 spans="1:17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 spans="1:17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 spans="1:17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 spans="1:17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 spans="1:17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 spans="1:17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 spans="1:17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 spans="1:17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 spans="1:17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 spans="1:17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 spans="1:17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spans="1:17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 spans="1:17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 spans="1:17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 spans="1:17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 spans="1:17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 spans="1:17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 spans="1:17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 spans="1:17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 spans="1:17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 spans="1:17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 spans="1:17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 spans="1:17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 spans="1:17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 spans="1:17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 spans="1:17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 spans="1:17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 spans="1:17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 spans="1:17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 spans="1:17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 spans="1:17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 spans="1:17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 spans="1:17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 spans="1:17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 spans="1:17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 spans="1:17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 spans="1:17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 spans="1:17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 spans="1:17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 spans="1:17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 spans="1:17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 spans="1:17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 spans="1:17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 spans="1:17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 spans="1:17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 spans="1:17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 spans="1:17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 spans="1:17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 spans="1:17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 spans="1:17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 spans="1:17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 spans="1:17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 spans="1:17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 spans="1:17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 spans="1:17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 spans="1:17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 spans="1:17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 spans="1:17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 spans="1:17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 spans="1:17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spans="1:17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spans="1:17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 spans="1:17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spans="1:17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spans="1:17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 spans="1:17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 spans="1:17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 spans="1:17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 spans="1:17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 spans="1:17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spans="1:17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 spans="1:17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 spans="1:17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 spans="1:17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 spans="1:17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 spans="1:17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 spans="1:17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 spans="1:17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 spans="1:17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 spans="1:17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 spans="1:17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 spans="1:17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 spans="1:17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 spans="1:17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 spans="1:17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 spans="1:17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 spans="1:17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 spans="1:17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 spans="1:17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 spans="1:17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 spans="1:17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 spans="1:17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 spans="1:17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 spans="1:17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 spans="1:17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 spans="1:17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 spans="1:17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 spans="1:17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 spans="1:17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 spans="1:17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 spans="1:17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 spans="1:17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 spans="1:17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 spans="1:17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 spans="1:17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 spans="1:17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 spans="1:17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 spans="1:17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 spans="1:17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 spans="1:17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 spans="1:17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 spans="1:17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 spans="1:17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 spans="1:17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 spans="1:17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 spans="1:17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 spans="1:17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 spans="1:17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 spans="1:17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 spans="1:17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 spans="1:17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 spans="1:17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 spans="1:17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 spans="1:17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 spans="1:17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 spans="1:17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 spans="1:17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 spans="1:17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 spans="1:17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 spans="1:17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 spans="1:17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 spans="1:17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 spans="1:17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 spans="1:17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 spans="1:17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 spans="1:17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 spans="1:17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 spans="1:17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 spans="1:17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 spans="1:17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 spans="1:17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 spans="1:17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 spans="1:17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 spans="1:17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 spans="1:17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 spans="1:17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 spans="1:17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 spans="1:17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 spans="1:17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 spans="1:17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 spans="1:17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 spans="1:17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 spans="1:17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 spans="1:17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 spans="1:17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 spans="1:17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 spans="1:17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 spans="1:17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 spans="1:17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 spans="1:17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 spans="1:17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 spans="1:17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 spans="1:17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 spans="1:17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 spans="1:17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 spans="1:17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 spans="1:17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 spans="1:17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 spans="1:17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 spans="1:17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 spans="1:17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 spans="1:17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 spans="1:17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 spans="1:17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 spans="1:17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 spans="1:17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 spans="1:17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 spans="1:17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 spans="1:17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 spans="1:17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 spans="1:17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 spans="1:17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 spans="1:17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 spans="1:17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 spans="1:17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 spans="1:17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 spans="1:17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 spans="1:17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 spans="1:17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 spans="1:17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 spans="1:17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 spans="1:17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 spans="1:17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 spans="1:17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 spans="1:17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 spans="1:17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 spans="1:17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 spans="1:17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 spans="1:17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 spans="1:17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 spans="1:17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 spans="1:17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 spans="1:17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 spans="1:17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 spans="1:17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 spans="1:17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 spans="1:17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 spans="1:17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 spans="1:17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 spans="1:17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 spans="1:17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 spans="1:17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 spans="1:17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 spans="1:17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 spans="1:17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 spans="1:17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 spans="1:17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 spans="1:17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 spans="1:17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 spans="1:17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 spans="1:17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 spans="1:17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 spans="1:17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 spans="1:17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 spans="1:17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 spans="1:17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 spans="1:17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 spans="1:17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 spans="1:17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 spans="1:17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 spans="1:17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 spans="1:17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 spans="1:17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 spans="1:17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 spans="1:17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 spans="1:17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 spans="1:17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 spans="1:17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 spans="1:17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 spans="1:17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 spans="1:17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 spans="1:17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 spans="1:17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 spans="1:17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 spans="1:17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 spans="1:17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 spans="1:17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 spans="1:17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 spans="1:17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 spans="1:17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 spans="1:17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 spans="1:17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 spans="1:17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 spans="1:17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 spans="1:17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 spans="1:17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 spans="1:17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 spans="1:17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 spans="1:17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 spans="1:17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 spans="1:17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 spans="1:17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 spans="1:17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 spans="1:17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 spans="1:17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 spans="1:17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 spans="1:17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 spans="1:17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 spans="1:17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 spans="1:17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 spans="1:17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 spans="1:17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 spans="1:17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 spans="1:17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 spans="1:17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 spans="1:17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 spans="1:17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 spans="1:17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 spans="1:17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 spans="1:17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 spans="1:17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 spans="1:17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 spans="1:17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 spans="1:17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 spans="1:17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 spans="1:17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 spans="1:17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 spans="1:17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 spans="1:17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 spans="1:17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 spans="1:17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 spans="1:17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 spans="1:17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 spans="1:17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 spans="1:17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 spans="1:17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 spans="1:17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 spans="1:17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 spans="1:17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 spans="1:17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 spans="1:17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 spans="1:17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 spans="1:17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 spans="1:17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 spans="1:17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 spans="1:17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 spans="1:17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 spans="1:17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 spans="1:17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 spans="1:17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 spans="1:17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 spans="1:17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 spans="1:17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 spans="1:17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 spans="1:17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 spans="1:17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 spans="1:17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 spans="1:17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 spans="1:17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 spans="1:17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 spans="1:17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 spans="1:17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 spans="1:17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 spans="1:17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 spans="1:17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 spans="1:17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 spans="1:17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 spans="1:17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 spans="1:17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 spans="1:17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 spans="1:17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 spans="1:17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 spans="1:17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 spans="1:17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 spans="1:17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 spans="1:17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 spans="1:17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 spans="1:17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 spans="1:17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 spans="1:17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 spans="1:17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 spans="1:17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 spans="1:17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 spans="1:17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 spans="1:17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 spans="1:17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 spans="1:17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 spans="1:17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 spans="1:17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 spans="1:17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 spans="1:17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 spans="1:17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 spans="1:17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 spans="1:17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 spans="1:17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 spans="1:17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 spans="1:17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 spans="1:17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 spans="1:17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 spans="1:17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 spans="1:17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 spans="1:17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 spans="1:17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 spans="1:17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 spans="1:17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 spans="1:17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 spans="1:17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 spans="1:17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spans="1:17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 spans="1:17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 spans="1:17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 spans="1:17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 spans="1:17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 spans="1:17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 spans="1:17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 spans="1:17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 spans="1:17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 spans="1:17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 spans="1:17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 spans="1:17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 spans="1:17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 spans="1:17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 spans="1:17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 spans="1:17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 spans="1:17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 spans="1:17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 spans="1:17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 spans="1:17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 spans="1:17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 spans="1:17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 spans="1:17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 spans="1:17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 spans="1:17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 spans="1:17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 spans="1:17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 spans="1:17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 spans="1:17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 spans="1:17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 spans="1:17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 spans="1:17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 spans="1:17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 spans="1:17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 spans="1:17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 spans="1:17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 spans="1:17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 spans="1:17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 spans="1:17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 spans="1:17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 spans="1:17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 spans="1:17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 spans="1:17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 spans="1:17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 spans="1:17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 spans="1:17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 spans="1:17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 spans="1:17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 spans="1:17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 spans="1:17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 spans="1:17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 spans="1:17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 spans="1:17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 spans="1:17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 spans="1:17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 spans="1:17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 spans="1:17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 spans="1:17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 spans="1:17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 spans="1:17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spans="1:17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 spans="1:17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 spans="1:17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 spans="1:17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 spans="1:17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 spans="1:17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 spans="1:17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 spans="1:17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 spans="1:17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 spans="1:17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 spans="1:17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 spans="1:17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 spans="1:17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 spans="1:17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 spans="1:17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 spans="1:17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 spans="1:17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 spans="1:17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 spans="1:17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 spans="1:17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 spans="1:17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 spans="1:17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 spans="1:17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 spans="1:17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 spans="1:17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 spans="1:17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 spans="1:17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 spans="1:17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 spans="1:17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 spans="1:17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 spans="1:17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 spans="1:17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 spans="1:17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 spans="1:17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 spans="1:17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 spans="1:17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 spans="1:17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 spans="1:17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 spans="1:17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 spans="1:17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 spans="1:17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 spans="1:17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 spans="1:17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 spans="1:17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 spans="1:17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 spans="1:17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 spans="1:17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 spans="1:17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 spans="1:17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 spans="1:17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 spans="1:17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 spans="1:17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 spans="1:17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 spans="1:17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 spans="1:17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 spans="1:17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 spans="1:17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 spans="1:17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 spans="1:17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 spans="1:17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 spans="1:17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 spans="1:17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 spans="1:17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 spans="1:17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 spans="1:17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spans="1:17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1:17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1:17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spans="1:17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spans="1:17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Anonymized Grades 564 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Mathura Swaminathan</cp:lastModifiedBy>
  <dcterms:modified xsi:type="dcterms:W3CDTF">2023-12-07T08:20:11Z</dcterms:modified>
</cp:coreProperties>
</file>